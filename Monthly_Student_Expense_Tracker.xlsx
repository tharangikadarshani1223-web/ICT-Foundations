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<sst xmlns="http://schemas.openxmlformats.org/spreadsheetml/2006/main" count="30" uniqueCount="26">
  <si>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💰 MONTHLY Student Expence Tracker</t>
  </si>
  <si>
    <t>Name: Tharangika Darshani   |   Month: March 2026   |   Currency: USD</t>
  </si>
  <si>
    <t xml:space="preserve">  INCOME</t>
  </si>
  <si>
    <t>Category</t>
  </si>
  <si>
    <t>Budgeted (USD)</t>
  </si>
  <si>
    <t>Actual (USD)</t>
  </si>
  <si>
    <t>Difference (USD)</t>
  </si>
  <si>
    <t>Salary</t>
  </si>
  <si>
    <t>Tution</t>
  </si>
  <si>
    <t>From the Business</t>
  </si>
  <si>
    <t>Typing</t>
  </si>
  <si>
    <t>Other Income</t>
  </si>
  <si>
    <t>TOTAL INCOME</t>
  </si>
  <si>
    <t xml:space="preserve">  EXPENSES</t>
  </si>
  <si>
    <t>Transport</t>
  </si>
  <si>
    <t>Food &amp; Groceries</t>
  </si>
  <si>
    <t>Electricity and water</t>
  </si>
  <si>
    <t>Fuel for bike</t>
  </si>
  <si>
    <t>Savings</t>
  </si>
  <si>
    <t>Tuition / Course Fees</t>
  </si>
  <si>
    <t>TOTAL EXPENSES</t>
  </si>
  <si>
    <t xml:space="preserve">  SUMMARY</t>
  </si>
  <si>
    <t>Total Income (Actual)</t>
  </si>
  <si>
    <t>Total Expenses (Actual)</t>
  </si>
  <si>
    <t>Money Left Over</t>
  </si>
  <si>
    <t>Savings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</si>
</sst>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(#,##0\);\-"/>
    <numFmt numFmtId="179" formatCode="0.0%"/>
  </numFmts>
  <fonts count="30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6"/>
      <color indexed="9"/>
      <name val="Arial"/>
      <charset val="134"/>
    </font>
    <font>
      <sz val="10"/>
      <color indexed="9"/>
      <name val="Arial"/>
      <charset val="134"/>
    </font>
    <font>
      <b/>
      <sz val="12"/>
      <color indexed="9"/>
      <name val="Arial"/>
      <charset val="134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0"/>
      <color indexed="12"/>
      <name val="Arial"/>
      <charset val="134"/>
    </font>
    <font>
      <b/>
      <sz val="10"/>
      <color indexed="8"/>
      <name val="Arial"/>
      <charset val="134"/>
    </font>
    <font>
      <b/>
      <sz val="11"/>
      <color indexed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4" fillId="4" borderId="1" xfId="0" applyNumberFormat="1" applyFont="1" applyFill="1" applyBorder="1" applyAlignment="1" applyProtection="1">
      <alignment horizontal="left" vertical="center"/>
    </xf>
    <xf numFmtId="0" fontId="4" fillId="4" borderId="2" xfId="0" applyNumberFormat="1" applyFont="1" applyFill="1" applyBorder="1" applyAlignment="1" applyProtection="1">
      <alignment horizontal="left" vertical="center"/>
    </xf>
    <xf numFmtId="0" fontId="5" fillId="5" borderId="3" xfId="0" applyNumberFormat="1" applyFont="1" applyFill="1" applyBorder="1" applyAlignment="1" applyProtection="1">
      <alignment horizontal="left" vertical="center"/>
    </xf>
    <xf numFmtId="0" fontId="5" fillId="5" borderId="3" xfId="0" applyNumberFormat="1" applyFont="1" applyFill="1" applyBorder="1" applyAlignment="1" applyProtection="1">
      <alignment horizontal="center" vertical="center"/>
    </xf>
    <xf numFmtId="0" fontId="6" fillId="6" borderId="3" xfId="0" applyNumberFormat="1" applyFont="1" applyFill="1" applyBorder="1" applyAlignment="1" applyProtection="1">
      <alignment horizontal="left" vertical="center"/>
    </xf>
    <xf numFmtId="178" fontId="7" fillId="6" borderId="3" xfId="0" applyNumberFormat="1" applyFont="1" applyFill="1" applyBorder="1" applyAlignment="1" applyProtection="1">
      <alignment horizontal="center" vertical="center"/>
    </xf>
    <xf numFmtId="178" fontId="6" fillId="6" borderId="3" xfId="0" applyNumberFormat="1" applyFont="1" applyFill="1" applyBorder="1" applyAlignment="1" applyProtection="1">
      <alignment horizontal="center" vertical="center"/>
    </xf>
    <xf numFmtId="0" fontId="6" fillId="7" borderId="3" xfId="0" applyNumberFormat="1" applyFont="1" applyFill="1" applyBorder="1" applyAlignment="1" applyProtection="1">
      <alignment horizontal="left" vertical="center"/>
    </xf>
    <xf numFmtId="178" fontId="7" fillId="7" borderId="3" xfId="0" applyNumberFormat="1" applyFont="1" applyFill="1" applyBorder="1" applyAlignment="1" applyProtection="1">
      <alignment horizontal="center" vertical="center"/>
    </xf>
    <xf numFmtId="178" fontId="6" fillId="7" borderId="3" xfId="0" applyNumberFormat="1" applyFont="1" applyFill="1" applyBorder="1" applyAlignment="1" applyProtection="1">
      <alignment horizontal="center" vertical="center"/>
    </xf>
    <xf numFmtId="0" fontId="8" fillId="8" borderId="3" xfId="0" applyNumberFormat="1" applyFont="1" applyFill="1" applyBorder="1" applyAlignment="1" applyProtection="1">
      <alignment horizontal="left" vertical="center"/>
    </xf>
    <xf numFmtId="178" fontId="8" fillId="8" borderId="3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left" vertical="center"/>
    </xf>
    <xf numFmtId="0" fontId="4" fillId="2" borderId="2" xfId="0" applyNumberFormat="1" applyFont="1" applyFill="1" applyBorder="1" applyAlignment="1" applyProtection="1">
      <alignment horizontal="left" vertical="center"/>
    </xf>
    <xf numFmtId="0" fontId="5" fillId="9" borderId="3" xfId="0" applyNumberFormat="1" applyFont="1" applyFill="1" applyBorder="1" applyAlignment="1" applyProtection="1">
      <alignment horizontal="left" vertical="center"/>
    </xf>
    <xf numFmtId="0" fontId="5" fillId="9" borderId="3" xfId="0" applyNumberFormat="1" applyFont="1" applyFill="1" applyBorder="1" applyAlignment="1" applyProtection="1">
      <alignment horizontal="center" vertical="center"/>
    </xf>
    <xf numFmtId="0" fontId="8" fillId="10" borderId="3" xfId="0" applyNumberFormat="1" applyFont="1" applyFill="1" applyBorder="1" applyAlignment="1" applyProtection="1">
      <alignment horizontal="left" vertical="center"/>
    </xf>
    <xf numFmtId="178" fontId="8" fillId="10" borderId="3" xfId="0" applyNumberFormat="1" applyFont="1" applyFill="1" applyBorder="1" applyAlignment="1" applyProtection="1">
      <alignment horizontal="center" vertical="center"/>
    </xf>
    <xf numFmtId="0" fontId="4" fillId="9" borderId="1" xfId="0" applyNumberFormat="1" applyFont="1" applyFill="1" applyBorder="1" applyAlignment="1" applyProtection="1">
      <alignment horizontal="left" vertical="center"/>
    </xf>
    <xf numFmtId="0" fontId="4" fillId="9" borderId="2" xfId="0" applyNumberFormat="1" applyFont="1" applyFill="1" applyBorder="1" applyAlignment="1" applyProtection="1">
      <alignment horizontal="left" vertical="center"/>
    </xf>
    <xf numFmtId="0" fontId="5" fillId="11" borderId="3" xfId="0" applyNumberFormat="1" applyFont="1" applyFill="1" applyBorder="1" applyAlignment="1" applyProtection="1">
      <alignment horizontal="left" vertical="center"/>
    </xf>
    <xf numFmtId="178" fontId="9" fillId="11" borderId="1" xfId="0" applyNumberFormat="1" applyFont="1" applyFill="1" applyBorder="1" applyAlignment="1" applyProtection="1">
      <alignment horizontal="center" vertical="center"/>
    </xf>
    <xf numFmtId="178" fontId="9" fillId="11" borderId="2" xfId="0" applyNumberFormat="1" applyFont="1" applyFill="1" applyBorder="1" applyAlignment="1" applyProtection="1">
      <alignment horizontal="center" vertical="center"/>
    </xf>
    <xf numFmtId="178" fontId="9" fillId="11" borderId="4" xfId="0" applyNumberFormat="1" applyFont="1" applyFill="1" applyBorder="1" applyAlignment="1" applyProtection="1">
      <alignment horizontal="center" vertical="center"/>
    </xf>
    <xf numFmtId="0" fontId="5" fillId="12" borderId="3" xfId="0" applyNumberFormat="1" applyFont="1" applyFill="1" applyBorder="1" applyAlignment="1" applyProtection="1">
      <alignment horizontal="left" vertical="center"/>
    </xf>
    <xf numFmtId="178" fontId="9" fillId="12" borderId="1" xfId="0" applyNumberFormat="1" applyFont="1" applyFill="1" applyBorder="1" applyAlignment="1" applyProtection="1">
      <alignment horizontal="center" vertical="center"/>
    </xf>
    <xf numFmtId="178" fontId="9" fillId="12" borderId="2" xfId="0" applyNumberFormat="1" applyFont="1" applyFill="1" applyBorder="1" applyAlignment="1" applyProtection="1">
      <alignment horizontal="center" vertical="center"/>
    </xf>
    <xf numFmtId="178" fontId="9" fillId="12" borderId="4" xfId="0" applyNumberFormat="1" applyFont="1" applyFill="1" applyBorder="1" applyAlignment="1" applyProtection="1">
      <alignment horizontal="center" vertical="center"/>
    </xf>
    <xf numFmtId="179" fontId="9" fillId="11" borderId="1" xfId="0" applyNumberFormat="1" applyFont="1" applyFill="1" applyBorder="1" applyAlignment="1" applyProtection="1">
      <alignment horizontal="center" vertical="center"/>
    </xf>
    <xf numFmtId="179" fontId="9" fillId="11" borderId="2" xfId="0" applyNumberFormat="1" applyFont="1" applyFill="1" applyBorder="1" applyAlignment="1" applyProtection="1">
      <alignment horizontal="center" vertical="center"/>
    </xf>
    <xf numFmtId="179" fontId="9" fillId="11" borderId="4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20</xdr:row>
      <xdr:rowOff>121920</xdr:rowOff>
    </xdr:to>
    <xdr:sp>
      <xdr:nvSpPr>
        <xdr:cNvPr id="1025" name="AutoShape 1" descr="data:image/png;base64,iVBORw0KGgoAAAANSUhEUgAAAwAAAAF3CAYAAAASOSzeAAAQAElEQVR4AeydC7xdVX7X1z9q9Ca5cTTvTHmkHQyCGeVl0dhLUERwSigvTbSG9mMpBTJIQSWTOjhlSgCVTqQBjPgiVm+Ux0hgJEYsSTQ6yKtOLBKZTkiQhEsSH3OTXFPbYr7rsk7OPfecc89j7332WueXT9bZe6+99lr/9f3ttfZ67X2nHT58+NMU3Pe+970k8pGCFmXNw6/92q/pHkmkvNe7x6RvGnV5PW3xk77Sl/tALu37QPoWp+80d/rf7NmzXczudBb8/5jzINvzvwe5ScS5mnNa+9I3LT1ry6r0lb6194SO074npG+++voOABWrnAiIgAiIgAiIQJ8QUDZFQAT6moA6AH0tvzIvAiIgAiIgAiIgAiLQTwTIqzoAUJATAREQAREQAREQAREQgT4hoA5AnwitbIrARAI6EgEREAEREAER6FcC6gAkqPy+ffvcl770JXfPPfe4kydPJphDZakegT179rihoaFJTvdBPVrx+g0PD0/QePXq1e7YsWPxZkiW+3qaclqv/KJ35ogUoQhERIAyUK9sBD+efRFlpzSmqgNQGimyM+T55593g4OD7v3333fvvPNOdhErptIT+PznP++++c1vut27d3u3fft2b/P69et9I8Mf6CdKAjTyaey//vrrDl2DxitXrnRr1qxxdPyjzJiMrhC44447fLkN2lKWt23b5jZs2FAJox0R6EcCF1988YR6L5QRtsuXL+9HJB3nOVyoDkAgkciWRsLevXvdT/3UT7nzzjvP7dq1K5GcKRudEJgxY4a75ZZb3MjIiBsbG+skCl1TEgKbN292CxYs8I1BdA1m0SngAfjUU0+pkxegJLKdM2eO+9rXvuYY4cQlki1lQwREoAQE1AEogQhZmvDee+/56C666CL3wz/8w47OAJ0C76kfEfAE9BMbAcowZZnOXHXjP+SDGZ6NGze6eudCGG3jJLB06VJHB0+DOXHqJ6tFoKwE1AEoqzId2MV6/2effdYtW7bMMXJ09dVX+1hCp8Af6KevCIR7Yu3atf6e6KvMJ5TZo0ePuk8//dTNnTs3oVwpK60SWLJkifvkk0+ymeFpNVGFEwERSJqAOgAJyfvhhx+6jz/+2N10000+V3QC6AzQKaAh6D31kzSBjz76yN1www2Vl0SvueYa9/bbb7uDBw8mne9+yBzv9agD0A9KK48iIAK1BHiO8TwLL/6GLS/Pq31TS6vxcfUZdQCqaUS+TwFZuHChO+ussyo5ueKKK/zLwHQOKp7aSZZA7UvAvCDFi4WsD9ca4rhlHx0ddcwExJ0LWS8CIiAC7RNo9BKwlj62zzJcoQ5AIBH5ljXCfC2CTkB1L/krX/mKo+GAv9O/viRw/fXXOyrP8VmAvkQQfaYZ+Tezhh0AvgB022236XOg0StdPwP79+/373TpHY/6fOQrAiLQPgF1ANpnVsorWOf//e9/3z399NMTPiPHCDAdAjoHdBJKabyMEgERaEqA5Xx87rPRcj4+/Ttz5kw3MDDQNB6djI8AnbvvfOc7vhPftfWKQAREQAQ+I6AOwGcgYt/whQi+FMEXI2rzwjIg1obTSag9p+P0CfC3IPgMaHgpPP0cp5lD9ENHvvhTveaVP5LD8i6WemmEOC3tGbThM6Bf/OIXXb26Pa3cKjciIAJ5EqiNWx2AWiIRHjNCRAOAhn498/kkKEtA6CTUOy+/dAjQ0at+CZgXpTZt2uRwjCKnk9P+ywn60difP3++Y1YPbXHM7m3ZskUNxARuCd7VQdPgKMvM/NDpSyB7yoIIdEyAZczV9V4oI2ypFzuOuI8vVAcgAfEZGfrWt77lvxVdLzuMCvKijB4i9eik48cMEEu+ah2VI41H59LJaz/nhHJcrbH0jf9uCHV0ta5hnz/0Fn8OlQMR6JwAZSCUh3pbzncee/9eqQ5A/2qvnIuACIiACPQLAeVTBERABKoIqANQBUO7IiACIiACIiACIiACIpASgXp5UQegHhX5iYAIiIAIiIAIiIAIiECiBNQBSFRYZUsEJhLQkQiIgAiIgAiIgAiME1AHYJyDfkVABERABEQgTQLKlQiIgAjUEFAHoAaIDkVABERABERABERABEQgBQKN8uA7AN///vddzI7M/cZv/EbUeYiZfyy2c5/EYqvsbL9Okr7tM4vpPpO+0jem+1W2pn2/pqDvtLGxMZeC+63f+i3327/923Ji0PAeoAHRn/dIf5QL6Zu2ztJX+qr+TvsekL7F6XvixImd0wYGBtyCBQuiduThc5/7nFu8eLGcGDS8B3SPpF0+pK/01TOgzj0QyTNB5Tde7VTu4tPuh37oh3ZOY1RFTgT6gYCZ9UM2+zaPZtI3ZfHNpK/0TZmA8iYC2RNoFqM6AM3o6JwIiIAIiIAIiIAIiIAIpEXA1AFIS1DlpgmBTz/9tMnZVE/1T76kb9paS1/pmzYB5U4ECiXwqToAhfJWYiIgAiIgAiJQEAElIwIiIAINCBTSAdiwYYMbHh5uYIK8RaAYAmZaQ1wM6d6kYiZ9e0O+mFTNpG8xpHuTipn07Q15pZoqganylXsHgMb/9u3bp7JD50VABERABERABERABERABAogkFsH4NixY2716tVuz549/rOMBeRFSYhAUwJlX0P8i7/4i87M3E/91E81zUfrJ4sLeeLECXfttdd6+1955ZXiEq5Kqez6Vpla2t0y34Nl1vd//I//4YaGhvz9P2PGDPfv//2/d//n//wf9xf/4l/0fr/jd/wO98wzz5RW9zIYVmZ9y8BHNohA1gRy6wDs2LHDLVu2zD377LNu4cKFWdsdRXz8gbVf+qVfcueee65/CJiZ+2N/7I+53bt3O1V2xUto1psp5nfeecf9vt/3+yr3gJm5WbNmuVtuucX9+q//egXE//t//8/vh60/iOSH+5n7HXN/8zd/k03hzqw3+raSUdhcd911lXtg69atrVxWeJhw74Vt4QY0SdAsH33feustN3PmzIo2ZuZosH/xi190W7Zs8X8o0332j4Gtyy67zIf9x//4H3tf7v1HHnnEN/rxQOv//b//t/vGN77h/vk//+d4+T9O+PHHH/v9wn4iS8gsH30jw5CUuXSMGQiePn26LzOf//zn3aZNm1wZ65ekwLeYmdw6AIi+fv36Fs1ILxijPzzw7777bnfgwIFKBr/97W+7v/SX/pJr9WEwMjLifuiHfsjNnj3b/Zf/8l8q8WgnHgJUgjQIqi1mxPy5555zP/IjP+K++93vVp/SfoIE3n33Xfcrv/Ir/iFI9v7JP/knExqW+E3lyjw6P5XtZT5/6NAhd/LkyQkm8hdJ9+7d62699VZ34403+tH8EOA3fuM3wq7fHj9+vFI30yng/BVXXOHeeOMNf/5v/I2/4Rs89957rz/Wjwj0AwGee3/6T/9px2BHaPBT1u6//373ne98xyOgTUPbhjYObR3v2eJPN9e2mETUwVowXp8BbQFS20EYEfqbf/Nvun/37/6dmzZtmvv7f//vOx4KON6H+IN/8A96/1Yi5kHEiOpv/dZvObatXKMw9QmgS/0zxfieffbZjgoQHV9++WXHUoHDhw+7bdu2FWNA4qn0Wt9meF966SXfyPzqV7/qZ0Rff/31CbM/za4N58JDNGyDf79s89Y3lE/SocPO+2vU39TZf+fv/B2H/5w5c3xjn/2f/Mmf9OjpABw8eNDvc/53/a7f5et3Ovl4/tE/+kfd7/ydv9Phz7FcfQIwrX9GvjESYOb7vffecz/4gz/oGAChLUOjffny5ZXs8CwMbRvOV060sNPNtS1E3w9B9BnQPFSmkfev/tW/8lEzC8Kabip/3J/5M3/G8UBZsGCBHwH8uZ/7Oce0mJn50UGWijz44IN+xOjVV1/153i4MEJ16aWX+qlqpqyJnAfMunXrKstLuJZj/DmPo+CFtalm42mY2YQZhf/+3/+7+9Ef/VEXpunY3nbbbY4ePHHgwujj3/t7f8+vdeXB+PDDD7s//If/sLf7H/7Df0gw7/bv3+9+4Ad+wNvFKJr3LMGPmZXACueXF6DJxRdf7O1p1KBjKUGz+4OLGTVh9OTKK6/0a4y/8IUveD3mz5/v/sW/+Be+0UI41uWbmePe4h6h82E2viQN/QkTHMdf+tKXvJ1m5s4//3z3/PPPV+IiHPcGM1xm5sP9tb/211z1fed68M/MepDq1EkyG0iZ//2///e7m266yfEApIH5rW99a8LFNICYJfhDf+gPeQ0phz/7sz/rWHaCHujGBSxLMTPH6DTH1C9m5pht5BgX9L7qqqsqutDpYMaJeM3Mp8GSxDAax3VldmZWmHm/9/f+Xgdv6m8SfeGFF7wO3OMwNTMHY+piyhx1NOFWrlzpuQ4ODrpdu3bh5fBjlJPGDx68Fwd3M/Nh2cePc7h6de3jjz/OKa8ldlHXm5mvYznGLgKwxT7qBJbf0vkwMz/Y8Nhjj/nnCuFw3//+990999xTqfe574LNnG+lHiBcVs7MsopK8ZSIAKsd/uf//J/+XmdZHcvDL7nkErd582ZHm4a2DeVn8eLF7pxzznEMin3ve9/zbRKWypqZv/b8088hriVrza6lnFHe6Iz/t//23wjuyw3lwmy83OKJTT/zMz9Tuf8ph9zznOsXl9sSoH4BWC+fNIA/+ugjP+pDg9/M6gXzSz+efPJJPyocAtAwYPaAh3zwq7elcbhq1Sr36KOPOq4hDFuO/+pf/at+tuDDDz90119/veMhxQgWjoYfYYOjl/7DP/zDjsZIaIiy/Qf/4B+4a665xn3yySc+KH7s3HnnnX6tK40VOgE33HAD3v5dD2zigIYG+V+6dKljVA2/MjhsLoMdjHgwA/Af/+N/9OZQ6fmdmh+WBk11fzBqwkjIzp073U/8xE9URpWPHDni1qxZ41hyRrSEYcu9xT0StOI84Wikcv7Xfu3XfAP1X//rf+3XLeO3b98+9+f+3J9zjGJzzIjnj//4jzvywDE20DF88803OeyZK4u+tQDoBFMGL7/8cvcH/sAfcKHMfPOb35ywtAS+TJmjAXFQ5jZu3Oj+w3/4Dxw2dITjZNCQ/aA328CF5SnEFcITDv1Zkkgng+Myu5CPomw0M0f9zej9Bx984JdyYgNMsSFs2W/V/dt/+2/9AArcwzXsMwBDXYxf0Ke6rqW84qaq84N93zvdgKLMhmVIXMtzgY48aVCGb775Zvd3/+7frXQKuO++/vWv+8YS+3RUm9UDxJOlw/Ys41NcvSXwR/7IH3F0jmng/4k/8Sf8RyJoG7SiM+0RHB3akAueQ9RVbINfvS3lkmfs//2//9fPuhKGNPFnny3HDzzwgO+EhPJGOXzooYcI0jdOHYAcpP5f/+t/+QY4I20DAwMNU6BwsA6cxjKNKJYI/fRP/7QPz4vC9Fg5RyOahjsNLAoEvWcaFIwqhuk1bmgaGosWLXLMPtCjpvHObMSP/diPOdaf3nfffY5Kn4Y7y04YvadRQMeBqHD7FwAAEABJREFUTgAdBuzgCxaf+9znHA8BHljeoM9+GBkjXQoXo5OMAmMb1zDbQOF68cUXfWgaOoT3B/pxaMIoBw2Kv/AX/oJvYP+pP/WnfMVYD89U90ftNcRJI5BRDO4L7qfa0V20p3NHpccLimbm3n///UonFL+jR4/691RoJKAn4bkv6JRyTEXJ/cn9zb1GXDQUuGdqber3Y8ola2DhxleSfs/v+T3+QwALFy70HXPKLIxooNHZgzMPOdij5U+c7tT97t/9u30HnRdNCUuHjXjb/arMX/krf8XxACYtrqdxiGZ0ND843cAlbrmJBKi/uc8n+p45oi6GH3U0vtSrsB0dHXW8BxD8GG2/8MILfYMDjZmJo3zi/vpf/+uOOphnAeGDo+6srmtbqfPDtWyZ7aFOp3NHAwy/MOhAR5AZZupuRv25PxldnT9/PsH8y8tT1QM+oH5EoAGBs846y9dbvDRPEO5lBkH+7J/9s37g4/bbb3e0abgHKT+0VQ4cOOBow/DezWuvveYoR5Qn/BlQpE3D863ZtaQ1laNTwvIkwvF84xnGLB8zB/jF7lq039QBaJFUO8Fo4BGeG5fKnv16jsYAFT8j7VzDg4b3BeqFrfX7z//5P/tOBlNlF1xwgZ8i46tLTJ/xsKETwpIDpopppDGtzBQwD5m5c+f6QkYjIzQQv/zlL/tlO2bmKKQ0TEmTpR5sg2M6m1ExGiXYS9o8aChQjGDywKEz8LnTHQiWLYTryrA1szKY4W3gQcuDn0qHB733rPlp5/6gEqWTRwVGxwENiY77i21waPXn//yf97NT7NMhoTOHfnQuaSAS9p/+03/qv1TEfckSE/xoEBCWe4Z7mylT7hPCEBcdSsL1ypmVR9/AgAcW7wKhD7zwhznLv2h0/ct/+S/x8g1ApqthySAAX6VBSzro1A8+UJc/1AVPP/20/yyzmTkezLX3R5dJ5Hq5WfH60lmikc5XgdCmmwzSEA+j/Iw+Un/i/tbf+ls+2qnq2lbqfB/RZz8sy2MpJs8BOp9406lkyzIJyjD+f/yP/3G/jI/ZJwYAON9KPUC4LJ1Z8fpmab/imkyAGU/uJQYTaTsQgo4AM9HcfxzXc7QfCEej38z80qCpRv7rxdPIj/qV5yDneb5RJzMQ1mczAHoHgBsga3fuuec6Kl0eHqzpbRQ/IzBM0zIK2KyjUO96eqz1/PGjcc7DChsYCT516pSjsckU8JIlSxyNDgoWYbt1jJAxSkk8TNkxEsysBQ8VGqL4l8U1q3CKsDGMcmAHa/dZikMjr1Hand4fZuYb+I3iDf40anDhGLtolIbj2i1am1llyUDt+V4fY3+vbahNn4cfI010sFjvamYOjpQTwjLDxr3Afp6Ouoj3ehjtYnAgz7TyirtofUnv3/ybf+MHWhjN5F2tbvJGHT9V+WoWfyt1fqPrq8t5ozDBn3xPZadZ9o110g02aJsOATNzDBQyEEk7hJz96q/+ql9qxn6t4z7g3Teej8wK1J7P6piGPx1h2mB0zvk6ESskGBjNKo2yx5P7DAAjX6xj5bOgZYeRlX3nnXeeu/rqq310TPX+8i//sm80sS6NKdg/+Sf/pP+SxNtvv+2XgbBOnwc0N94dd9zhr6v94Tyj+4xG8SDgZRrC0MAPHQgKDo6XWxiNZeSR0XiW/lChc+6//tf/WpmaphdMh4B4+HsFjEARhutw+PPFIrbNHC+g8oIOU9QUIsKyHIURbPblOiPQzv3RWQoTr+KFq9BpYxkKo8PcD8Hx0iP3TLj3WEJCBcp9zX3G/sQY+/uIMjc8PNwUAp0DOgmUFWaFuIZRf2ZjcLykSce6OhLqAabGOY8/o7xsmQ2k7PMwC+9n4I9DS2ZuGHGmUUtjlKVcjLRxXm4iARiy5IovAXGGZVfMnLLfqaOzz7OB67/2ta/5j0CEssWW92g418iFcteszvfXtvAT7hnqee4DyjDb8GJ5K/VAC8koSB8TYJSf9gyrAsBA3cT7kexTlqjz2MexaoGBEAZK2KeDgD8fF6GuYtkPS+jwq3WED9dyHzPTSVmjzcR11Km8ZM9+uJa2FgOXXMesFzMUDJgSLsuZhpBeWbe5dwDKmvE87WL0na9HMGrEDU1jigcv/rxYRUOJ4/DyJ2vmGRWkAfbUU09NMI0OFGvieECw3p6bmwc5I+wsv+Chz9If1nabmV8KxLsDNA64ofFnipmtmfk33mmwUxjMzNFQ5xyNEOxlnyUHNBiYEqazMsGgOgd80Yg1e9hIuoyUYV+doD31MrOept9u4q3cH+3GOVV4lp/QKGQJEFsz8/eUmTmWkXE9656pjLm3WVvMfR3WdXK+V87MepV03XR58NExoqzT8ad8BMfDCWZcSCeBr8b85b/8lzl0/+gf/SO//Ir6gJc0eQByItwPzBrwgOMlUfxZfmVm/mVhvnzBw7V2KWGoRxhAYAkf5ZxlYpRz4ojBmeWrb3hHx8wcDKnDYU99yNdCumVE55kGEezpAFDnm1mlfNHBbpYGdepUdX6z66vPUbdThtGf+4cyzBI11loTrpV6gHBZOjPLMjrF1WMCzDTSqWXm22y8TPFlKuoiBja452ij0KbhPrzoooscA4406GnzYD51IuWFpUQ00vELrt61LLnkWgZAqWtp3/D1RcowAyfhWrbc6wzUYgfp0kGh48sKDs7H6tqwW+8AtAGrraA0ymlUsy6bhlS4mIfuP/tn/8wxYs4nAfkyDw8CzrMOjV4zBYSbFj/Wh+PHOY4ZJaSxgD8zC0xj8WDhXK3jRsZV+zN7wBdjbrnlFv9ZOx4EvNCJXSEcaTCSz1dKaITgH+wJW/yqHV+xoKGDHw8UOhPsyzmHXlRiVDRsGzEJbMO2lfuD+IiXKX62Ie4QR9iGc2zNxh+09a7ls4GMHtNR5XyIr3rL/cG7C+Ge4f6lk8kXRAhHGmz73THbxnI4HmxMgVfzYPSLTjN+dA74ahNLdGi4h7IOV8ph6ISzXpuvLwVdwigujcK//bf/tl9aRHys7WfWgJFitDAzR33BS9xBM+Lg4ci63Op7J9wvYUt8qTt4U+dW55P882EE3pmiPMCP82ZnltfBFj9Yss+Wso6f2eRw+KM5SzBpfHNcz5E2/mHLPg4bpqrzzeqnG+IKW8ow+UJ/7CZ+7hvWQFPnt1IPcI2cCDQiQAe6un3CfcagBzPHDBxxHe0TlvuENhKDh5TFb3zjG442CmFwK1ascHSe2aessa13LW0Q6k0+mxvqOo7pcP/CL/wCl/nlsdzjP//zP+9COQy20UFhEMUHTP9H7wDkqTE9UV68pSdMbxT3n/7Tf3L0Rs3M/2EYlucwkso5GgvcqIyis1Y32MaDn3OEYQqN3jDnFi5c6Hipj+kszgXH2nEKETc4MwRU6kyDMZrFOjwe+PS4GQ0kHhp72BWuZ1qM6e/qjgUdGc5X28W1wWHLvHnz/CHLvUIh9R4l+cH+XphC5cXU5K//+q87Zksa2VDLmIf1VPcH8REvoyaMejg3Hjs6kV/ixId7iGPujaBro2u5H/hKCDZzTXAhLuLjHgz3DPcvLxxSkROWtAhTtCPtotNslh4zdtjE0goab7VhGd3iPCNR1BWUSzoBoazDtbocEgczM0EXyjVx1t4nvCzKg5b7olrvas2Ig4EIZh+r7x00xibuH+Iuk8OuPOxhRos6l/iDo25ENzrh6BLSpezAlHDhPg/lCKaUdcLWC4e/mfm/BUHnkDiqXYivmQbUs43qfNLE1dpHuvXipAGF/tiNHdw3lH3C49ifqh4gXFYOG7KKS/H0nkDtvcp9xsBE9WCImfmGfWgjMRhCA5xr6ShzT+D4IhBfSWM/lBOz+teS8+q6jnqUQdTa5xNf6QrlMNjGdVzfL25av2S0n/PJjU+DnF7uj/3Yjzludip3prmz4kLBpuHCzAYjZ1nFm2U8ZuMj31nGqbjKQ8BM+pZHjewtMZO+U1KNOICZ9I1YPpkeIQF1ACIUrRWTzcw9/PDDrnoKjuuY7ma5BqNIjBzi162jh80nQImHkUeml9mXEwEREAEREAEREAERyJ9AmynoHYA2gUUVnGk0GvrVS4QYpWe5BlPFWWWG5UZ8WYTpOZY8mZVzJAf7ssqz4ikfAelbPk2ytEj6ZkmzfHFJ3/JpIouSJvDpNL5GwZrvmB15oJHLp/HkRv1fzxOHyRz4ewhpc5mc537Kr/RNW3/pK337qT5TXtO+33ut75EjR86dxhvSKbik+2nKXCYEzMo5M5FJ5hSJ/5yiMKRLwEzlt6m6kZ80k76RSyjz4yIwvgSIb0rH7GDOZ534BJvcoP/spDhM5sAnwsRlMpdUmEjfdLXlHpW+0pf7QC7t+0D6dqZvu9zmzZv3gV4Cpvcg1xcEzDTClLLQZtJX+qZMIO28man8pq2wclcyAvo7ACUTROaIQIcEdJkIiIAIiIAIiIAItEZAMwCtcVKoBAjoKxMJiNgkC9K3CZwETknfJiImcEr6JiCishATgfF3AGKyWLaKgAiIgAiIgAiIgAiIgAg41ymD3GYA9u3b5770pS+5oaEh7+655x7HH4zq1FBdJwLdEjDTGtNuGZb5ejPpW2Z9urXNTPp2y7DM15tJ3zLrI9uSI5DPOwA0/u+99163fv16t3v3bu/467AcqxOQ3E2kDPWcgAwQAREQAREQAREQgdYJ5DID8Pbbb7vzzjvPXXTRRRVLbrrpJvfxxx+7Dz/8sOKX8s5LL73k+Gu7b731VsrZjCpvWmMalVxtGyt920YW1QXSt4FciXhL30SEVDZiIZDPOwCrV692GzdudDNmzOgJiMOHD7tzzjnH/2EgM6ts8eNcT4xSoj0nYGY9t0EGdEbg1ltvrZRjM3OPPvropIjMpO8kKJF4SN9IhOrQzG70payb2YTyT3y1pjDYxqAbg2/h3PHjx92KFSt8e0DP/kBF25QIdJGXfJYA1TOIWQEzc3Pnzq13Ohe/Rx55xDGqENyBAwfcokWLcklLkYqACORDgIf9zp073aFDh3x5fvPNN92DDz5YtxOQjwWKNU8C0jdPur2Pu1N9Q+Odsk6ZD89x6gHqg1YG9O666y73xhtvuBdeeEHP/t7fCrKgZARyWQJUm8c9e/a4p556yq1du9bNmTOn9rSORaAQAjxACkmo0ETSToxRveeee85t2rSp8gC/5JJL3AMPPOCefPJJVz2qJ33juxekb3yatWNxN/o+8cQTvvHOe4SU+ZAug3g06I8ePeq2bNkSvCdtmTmg7qi9flJAeYhAnxLIvQNA4/8rX/mKu+OOO9zy5ctLhZkKwuzM1CJThYw6VBtJA4ORBrMz4aqnGEPY6rgI/9FHH4VT2paEgJmVxBKZ0SoBRvsIu3jxYjYVd8EFFzgaAOE8J8ykLxxickE/6duhaiW/rFN9eQ6/8sor7uabb3bVjf+Q3aVLl7rLLrvMEYawwT9seUavW7fObd26te71IZy2ItDHBPJ5ByAArW7881t1btEAABAASURBVF5A8C/DlmlJRhCpoBg5HB0d9WZdeOGFlVFFRi++8IUvuDvvvNMvPSDctm3b3MqVKycsP6DxXz1NyWglHR4foX5KQwD9SmOMDGmJwLvvvuuXDdY2EMMx5TdEJH0DiXi20jcerTqxtFN9eR7v37/f0dGvl+6sWbPctdde6whD2Oowr7/+ulu1apVjCfB1111XfUr7IpAUgS4zk987AKHx//DDD7teNf7XnR4BMLPKy0NhhJ+GPVODNNSZTgQiFcpjjz3mRxVZb4jf448/7kcZWEfIMY4KZc2aNZWRB2YI6EiwJCGMVBCGjgLh5URABERABERABFonQMeeGb7WrzgT8qGHHvIHV111ld/qRwREoD6BXJYA8XcANmzY4Gj893LZDyMAjAoGx4tDNPSpXMARRhHZx3HMS8qMWjCtyEvDLOfhGs4Hx6hEGHkgLioq/MJ5bctJwMzKaVjHVunCagJm0reaR2r7ZtI3NU2r82PWnr48p6uvD/sMvrF06MYbb6zM5odz2oqACFQI5LME6Pnnn3dMy7H2P/wl4LBlZqCSvHZEoEACdAQLTE5JZUCAjjUdbDra1dGFYzrtwV/6BhLxbKVvF1pFcGmn+lKuw2BcvWyGAbolS5a4wcHBSUEY/MOT1QeEZV9OBERgIoFcZgDWr1/vePO+nuvljEDIOpUL+6ERwT6OYxobVFqM+jP6zyxAbQXCyEOoeIirWUVFvHIiIAKdEaB8cSVlk21wLOGj3IXzwV/buAgE/aRvXLq1am2n+rI0lyW7zNqzzLY2PVYZ8HnP++67z/Gsrj3P9XwpiDDVS3hrw+lYBGIlkIHd+b0DkIFxuUURviDAZ0lD5UIjn8qELwtceeWVPm2mEXft2uX4HJn3OP3D1wX49BhhqXioaKioeAmYdwtOB3GE4UVh9uXKQ8CsvSnm8ljev5bUK6uUMzoAvJxP+Qt0zKRvYBHLVvrGolRndnajbxjFv/zyyycs5aH8s6KA5zPv2zWyjHfyeDeP5zXP5Ebh5C8C/UoglxmAssOk4c7IAg13RijMzE8jMuKPP+fJA5ULLwTTuDcz/zIxXxfAj3OEwT3zzDP+c2WXXnqpD8PLxK+99pr+5gFw5HIi0B/RUhZffvllx4xbKKuUMz7vd//99/cHhIRzKX0TFvd01rrRl849M/DVz2kzc6H889w9nUTT/9QRfLSD5zYdh6aBdVIE+otAPu8A9JphqDgo/M1soQJh3XBwHNeGZxThxIkTlc+Aso9fbTiuDfHQiaDSOnjwoL5BXAuqh8fo08PklXSHBGhEUKbQL7jqDniIlnNhX9t4CEjfDrSK6JJu9a1+tlLGcfXKP89lns+157gef85HhE2mikDuBPpyBiB3qkqglATMrJR2yahsCJhJ32xIljMWM+lbTmWyscpM+mZDUrGkTiCj/PXnOwAZwVM0IiACIiACIiACIiACIhAdAc0ARCeZDO6UAFPHnV5brutkTT0C0rcelXT8pG86WtbLifStR0V+IpAbAZs2NjbmRkZGonbkga/48LcH5Eb932AQh8kcTp06JTajk7mkcq9I33S15R6Vvp/pm2gZlr5p60sZliuPxkeOHDln2sDAgEvB5dZHUsTJEDDTGtNkxKyTETPpWwdLMl5m0jcZMetkxEz61sEiLxGYQCDLA78EaPbs2S5mBxC+NMBfBJQb9J80FYfJHKZPny42g5O5pHKvSN90teUelb7Sl/tALu37QPoWo++8efM+8B0Ap38i0AcEzFIYYeoDoTrMopn07RBdFJeZSd8ohOrQSDPp2yE6XSYCnRBI8+8AdEJC14iACIiACIhAqQnIOBEQARHIhoA+A5oNR8USAwF9ZSIGlTq3Ufp2zi6GK6VvDCp1bqP07ZydruwPAlnnUkuAsiaq+ERABERABERABERABESgvATyWwJ08uRJd88997ihoSHvNmzYUF4MsqwvCJjFvsa0L2TqOJNm0rdjeBFcaCZ9I5CpYxPNpG/H8HShCHRAIJcZABr/69evd/Pnz3e7d+9227dvd5988okbHh7uwERdIgIiIAIiIAJ9TkDZFwEREIHsCOTzDsCHH37oTpw44W6//XZv6owZM9wtt9ziXn/9dUfnwHvqRwQKJqA1pgUDLzg56Vsw8IKTk74FAy84OelbMHAlFxWBPIzNZQZg6dKl7umnn3Zz5syZYPPIyIgbGxub4Jf1wUsvveTMrKGbOXOme+utt7JOVvFFQMDMIrBSJtYjcOutt04o048++uikYGbSdxKUSDykbyRCdWhmN/pS1s1sQvknvlpTeK7zfKcNEM4dP37crVixwp1zzjnu8OHDwVtbERAB5/J7B8BV/Tt27JjbtGmTW7ly5aROQVWwTHavu+46x0gCjj87fcUVV7g1a9ZU/JiZuOSSSzJJq8yRhIqvXkVZZrtlWyMC/evPPbxz50536NAhX47ffPNN9+CDDzoaBv1LJZ2cS990tKyXk071Dc8wyjplnmc6jnqA+qCVRv1dd93l3njjDffCCy+4RYsW1TNPfiLQtwRymQEINFnuw4vAN9xwg/e6+uqr/VY/ItALAjw8epGu0uycAKN6zz33nB9ACA9wOvAPPPCAe/LJJyeM6knfzjn36krp2yL5SIN1o+8TTzzhG++8R0iZDwioB2jQHz161G3ZsiV4T9oyQEDdUXv9pIDyEIH+JJDPOwCBJWv/N27c6F8EXrt2rR+J37dvXzjdsy1ThIwesGXK0Mwc+xhEpWF2ZrqR0Qv8g+MYR3iz8XDEQUUXwrBtdp7rcdVhzM7YwPW4MAJiNp6OmU0a9SSO2rx84xvfcAsWLHC7du3yFaSZaQr0NFAzO/2r/zERYLQPexcvXsym4i644AJHAyCc54SZ9IVDTC7oJ31jUq11WzvVl2ffK6+84m6++WZX3fgPKbPM+LLLLnOEIWzwD1uei+vWrXNbt26te30Ip60IxEAgLxtznQGoNvqiiy5y5513nnv77bervXu2f/DgQbdq1SrfOWHkkKVDNP7fffddv8wAP6YdGUHAv9pQRh0ee+wxxxIjwlFJ3XfffS5URHQGiHvbtm0+ru9+97vu8ccfr5wnrto4HnnkEW8P13Ke9YoXXnihb7iTBg57mA6l80CY4Grz8rM/+7OO9y2qlz8dOHCg76dAYRiYaRsHAcrj3LlzXW0DMRyHBga5kb5QiMtJ37j0atfaTvXl2bp//35HR79emrNmzXLXXnutIwxhq8PwsRGevzxTea5Xn9O+CIhAhUA+7wDs2bPHrV692rH2v5JUCXdqRwfuv/9+98wzz1QsDaMMVGIVz9M7NKxffvllRyV0+tCPUrDOsNHsBlOWxBvCc01tHLynQEPn1Vdf5bQfuWeHSowtjpEQlj6w/pEOAn7B1eYl+GubAgHlQQREQAT6hwAde2b4OsnxQw895C+76qqr/FY/IiACdQnkswTo/PPP96lt3rzZb/l58cUX/ah0Wd4DYHlSGEXEvuAY7Tcz/8WBwcFBv4wmnGt1S0OdWQFeemZ5Tm1jvV48pLVkyRIXOhtsOca/OjwjIlSMVJDBv1FewnltxwmY2fiOfpMkYCZ9kxT2s0yZ9am+n+U/9Y1Ze/ryjKzHhJl3nr833njjhHeE6oWVnwj0M4FclgDx+U+++rN37143NDTkHYUSP86VFThLa3ixkMY1ywmYWmSkvhN7GfHnehrxdDT4FFlYItRJfLqmewJo2n0siqFIAvU6vKRPGWVL2WKLk75QiMtJ37j0atfaTvWlXDMj3qiRz7OUZa08X2sHybAxzJyzEoGw+MmJQIwE8rQ5lw4ABtPQHx4e9mvseQufffw4V0ZHJUGFQkOdJTtZ2MiSH5br0PlptkSItOgssJ6RCpNjthzjz3FwVIhUjFSQwU9bEUiVQLjPQ4M/5JN3c1QOAo14t9I3Xu1asbxTfXkG8yzm+VlvBp3ltjxTefeO52ytLVzPl4IIw6dAa8/rWAREwOXzDkCMYKlEWK5TXeHwGbJdu3a1nR2WETGbEC6s12gn3h/90R+tvBjMFwsIz7sAbFm/yFKf4I8fLwjzEvCdd9455Qu9IT90aujccH2/O7P2ppjLwau/rQjv4fAVsdAQoBzQAagtB2bSN7a7RfrGplh79najbxjFv/zyyycs5aH8s7KAZT7NXvJlKS7vzPHBDb4K1J7lCi0CyRPI5x2AWLGFCodRCzPz6/FDg7ydPDHiQMPbzPy7BDTaGY1gVCLEw9Kin/7pn3ZMX5qZo0FTHYbKi68H0SExG4/n0ksv9Z8142XlEE+z7d133+2/o0wadG5CA6rZNTonAmUiQEeWF+6Z6g/lst1yUKb8yJaJBKTvRB6TjiL36EZfnpc8R1esWOG/AmY28TnIMtup8PCs5BnOV4HoOEwVXudFoJ8I5LYEqAwQqXxoQNdWFIwanDhxYtL3gUOFw1piHNcFF/LDMXESd/CrjY9zhCEOXL20uJaXhDmPqxem1h7CkRbXBsdxvWs5TyeCc1xHRUp8+Perg0O/5j3mfNeWJ3Tkvq/NE/61fjouPwHpW36NurGwW3155lK2q1298h+ed7XnuJ7nIOe7yYeuFYGiCeScnpYA5QxY0ZeIgJmVyBqZkjUBM+mbNdMyxWcmfcukR9a2mEnfrJkqPhFoQkBLgJrA0SkR6DEBJS8CIiACIiACIiAC2RNIeglQ9riyiZEpSZYIMTWaTYyKpRUCTCG3Ek5h4iQgfePUrVWr+07fVsEkEk76JiKkshELAZs2Njbm/0DXyMhItFvywJdu+GSm3KgTg/oMTp06JTaj9dmkcM9I33S15f6UvtKX+0Au7ftA+o7rmzeHI0eOnDttYGDApeBi6XLJzt4RMNMa097Rzz9lM+mbP+XepWAmfXtHP/+UzaRv/pSVgghUCIy/AzB79mwXsyM7LKfhc5dyg/7TouIwmcP06dMjYjPZfmnanIn0bc4n9vtH+krf2O9h2Z/2PRyTvvPmzftA7wA4/esXAmYaYUpZazPpK30TIdCH2TBT+e1D2ZXl3hHQZ0B7x14pi4AIiIAIiIAIiIAIiMAZAkXtaQagKNJKp+cE9JWJnkuQqwHSN1e8PY9c+vZcglwNkL654lXkIlBLYPwdgFpfHYuACPSSgNIWAREQAREQAREQgfwIFDIDsG/fPrdq1SrHNr+sKGYRaE7ATGtMmxOK+6yZ9I1bwebWm/WJvs0xJHvWTPomK64yVkYC+b8DcPLkSffUU0/576+XkYBsEgEREAEREAEREAEREIFeEygw/fyXAL344ovu448/9p9fLDBjhSfFHyJbsWKFu/XWWwtPWwm2RkBrTFvjFGso6Rurcq3ZLX1b4xRrKOkbq3KyO1YCuS4B2rNnj9u2bZv78pe/XCifw4cPu3POOceZ2QT36KOPFmqHEisXATMrl0F1rZFnPQJ0rM2sUp7rlWUzq3ep/CIgIH0jEKkLE7vRl7JuZpWyb2Zs5vVgAAAQAElEQVR1B9reeustN3PmTPfSSy9VLA0Dc7QHaBdUTmhHBETA5dYBOHbsmNu0aZNbu3atmzt3bk9QP/LII45RBdybb77pHnzwQUdl0hNjlKgIiEBHBGg87Ny50x06dMiXZ5XljjCW9iLpWyVNgrud6hsa7zy3KfM8x3HUA9QHrTTq77rrLvfGG2+4F154wS1atChBusqSCHRMIL93ADZv3uyWLVvmli9f3rF1WV64dOlSd9lll7lXXnnFUbFkGbfiioMAD484LJWVgQCjes8995wfTAgP8EsuucQ98MAD7sknn3TVo3rSN1CLZyt949GqE0u70feJJ57wjffdu3c7ynxIn3qABv3Ro0fdli1bgvekLYN91B21108KKA8RKAmBgs3I5x0Alv7s3bvX3X777QXnp/3k6Aywdt/szBQjFUdtTDQ0GHEwOxOueqqxNjzHxGNmlSlJKkOmKM3G45jqeuKQy46AmWUXmWIqhACjfSS0ePFiNhV3wQUXOBoA4TwnzKQvHGJyQT/pG5Nqrdvaqb48lxmsu/nmmyc0/kPKUw3o8Wxdt26d27p1a93rQzzaikA/E8hlCdCuXbvcRx995G644QY3NDTkbrvtNj99z3Z4eLgnvF977TWHXffdd5+bNWuWt4FG/YUXXujfF2D0EMdUI1OOTFv6QKd/aLh/4QtfcHfeeadfgkA43m1YuXJlwyVFNP6pgAh33XXX+ZHKG2+80Y9ccv3o6KhjdAIbTieh/wUQgHsByXSRhC6tJfDuu+/6JYS1DcRwHBoYXCd9oRCXk75x6dWutZ3qy/Nx//79jo5+vTR5hl977bWOMIStDvP666/7z46zBJhnb/U57YuACFQI5LMEaP369Y5pt+CefvppxwOb7erVqyup571DA9zM/MtDNNbPPvtsd+mll1aSDdOHVBTBk6lGlhewxjA0zh9//HG/fIj1hCEcFcuaNWvqLimi8U8ngs4E4cI11VsqsGeeeUbrEquhaF8EREAE+pWA8l0hQMeeGb6KRxs7Dz30kA991VVX+a1+REAE6hPIZQagflLF+9KwZ1QQxyjBkiVLHCP5jOhjDaMT+A0ODnJYcYw6UPlQCTEVeeDAAT9LQKO9Euj0DuFqRyDoVNDxqJ16ZN0iMwicYxlQsOF0NPpfEAEzKyglJdMLAmbStxfci0rTTPoWxboX6Zi1py/P73p2MuvO0iFm3MMgXr1w8hOBMhHogS35vAPQg4xMmSSN98cee8yHe/XVV/02jx9mBXCrVq1ytY38+++/3y8honJiJoJ3ClRB5aFC/TjpCNY/I9+yEqCTHTrj1TbSOeeYmUW2OOkLhbic9I1Lr3at7VRfyjVfD2zUyA8Dc/UG8LCRwT+2rDggLPtyIiACEwkUMgPACzuMiLOdmHxvj6icakfwsYhKh8qHSoiOAw11ZgFqKxLC1auA+HoBXxxqNALB0h+WB9GwYUuacv1OQPmvR4AyiH9o8LOP4/2ZUEY5louTgPSNU7dWre5UX2bM+ThH9VLc6jT37dvnvxBU/U5f9Xmu50tBfAK0euludRjti0CfE8jnHYCyQmUtP40GRuixkTWCNMJZlsMxjlF71u+zXIdKBD9G7Hft2uVo2HOM4ysDLPepVwHRaQgvO4cRCMJToYVORGjQhAqSOOXyJWDW3hRzvtYo9lYIMGhAZ5q/JxJmyyijdACqyyhxmUlfOMTkpO9naiW66UbfMIp/+eWX+49oBESUfz4uwnO50Tt2hA3v8/Gc5vmLn5wIiMAZAoXMAJxJrtg9GvZm5l8CNjPHaMK3v/3tyou3VBDf/e53vb/ZeDiW5jBbwXKdYC2VDCP1dAzMxsOxxAc/zoVw1Vs6D9UjEIRjJoH3DczM8VIy6WBD9XXaFwEROEOAzvTLL7/smGmjs2xm/kV+yk51GT1zhfZiIiB9Y1KrfVu70ZdnKDPvK1as8B8RMRt/9oZnNDPpU1lEHcGAH89rOg5Thdd5EegFgR6lmeY7AKHiYE1wtaMy4Vw1bI7xrw5HY706DPs01E+cOOHX8BOWffw4h6Oio4NRXSlxnnDBjy3XBlcvHeKSy4cA3POJWbHmSSCULfQLrl7Z4VyedijufAhI33y4liXWbvWtfW5SzuuV//C8rT3H9TyHOV8WJrJDBMpAIOkZgDIAlg3lIWBm5TFmgiU6yIKAmfTNgmNZ4zCTvmXVJgu7zKRvFhwVhwi0SKC/3gFoEYqCiYAIiIAIiEAxBJSKCIiACBRPIM0lQMVzVIoxEGDqOAY7ZWNnBKRvZ9xiuUr6xqJUZ3ZK38646aq4CfTS+mljY2NuZGQkakce+LoOf+xLbtSJQX0Gp06dEpvR+mxSuGekb7racn9KX+nLfSCX9n0gfYvR98iRI+dOGxgYcCm4XvailHYcBMzKuMY0DnYxWGkmfWPQqVMbzaRvp+xiuM5M+sagk2xMhsD4OwCzZ892MTvk4EsDfGJTbtCJQX0G06dPF5vB+mxSuGekb7racn8mqW/C5RHN2nHSN+3y2869oLD53wvz5s3br68AOf3rFwJmGmFKWWsz6St9UyaQdt7MVH7TVli5qyXQ62N1AHqtgNIXAREQAREQAREQAREQgeIIjC8BKi49pSQCvSNQvq9M9I5FiilL3xRVPZMn6XuGRYp70jdFVZWnMhPQDECZ1ZFtIiACIiACaRJQrkRABESgdwTy+zsAe/bscUNDQxPc6tWr3bFjx3qXXaXc1wTMtMY05RvATPpK35QJpJ03M5XftBVW7qoJlGE/txmAgwcPuosvvtht377d7d6927vh4WE3Z86cMuRbNoiACIiACIiACIiACIhAPxLI7x2A/fv3u/nz57sZM2b0I9hc8swfO1uxYoVbcdqxn0siCUdarjWmCYPuUdakb4/AF5Ss9C0IdI+Skb49Aq9k+5ZALjMAJ0+edJ988olbsmRJT8AePnzYnXPOOc7MJrmXXnqpJzYp0d4TMLPeGyELOiJw6623TijLjz766KR4zKTvJCiRePSdvpHokpWZ3ehLWTezCeWf+Gpte+utt9zMmTNd9TOegTIGzGgP0C6ovUbHItDHBPJ5B2BsbMydOHHCvfjii5V3AHqx/v+RRx5xjCpUu+uuu64tvalMqFSoXNq6sElgKiIqJCq2JsEmneKPne3cudPtPO3YnxSg5B55sCx5lmVeBgR42HPPHzp0yJfnN9980z344IOu3fKTgSmKIgcC0jcHqCWKslN9Q+Odsk6ZD89x6gHqA56hPEubZfWuu+5yb7zxhnvhhRfcokWLmgXVOREojEBZEsplBuDo0aOOQnr99df7tf+8A7By5Uq3du1avQRcFuX70A4eIH2Y7aizTMf7ueeec5s2bao8wC+55BL3wAMPuCeffNJVNwCkb3xSS9/4NGvH4m70feKJJ3zjnfYDZT6kS0OeBj3tjC1btgTvSVsGCKg7aq+fFFAeItCfBPJ5B2Dp0qXuW9/6lmPUP3C9+uqr/e6OHTv8ttc/VExnn322H01fsWJFZXqR0YpgG/t0XFjSdOmll/owVCrhPPtmZ6YmOQ7n2HI9Dn8z88uSqLAWL17seEl63bp1Pk7SZ7SDa0JYs/F4uR7/4DiuDs+oOiMhb7/9to/fbPw64gnXsOU6HOHNxsNwHQ0oWDDLYWZ+CpVjrgkO20jTbPw6wlaHCedJE2c2Hi7ETzyk3YwlYfJ2ZpZ3Ei3Gr2CtEmAggbCUGbbBXXDBBY4GQDiPv5n0hUNMLugnfWNSrXVbO9WXZ8orr7zibr75Zlfd+A8p08a47LLLHGEIG/zDluccz9etW7fWvT6E01YE+phAPkuA6gEdGBhwCxYsqHeqZ358kvTKK6909913X2VpASMGVB4Y9cwzz7ht27b5F5nDFOT999/PKUeDlspndHTUX0tFx4gkDWAf4LMfGvwh3IEDB9yaNWv87Aidj7BEielMlvRw7bvvvuvjYzSTNLEH/8+iq7uhM/EjP/IjfpqT67CZadPqRjoXYstjjz3msBnHOxo8eG+88Ub33e9+1/tTqcIjVKp0EC688EJ37bXXVuyiUuUTr7XxU+EG+0P8+JF2M5acL8LBpoh0lEZ2BLif5s6d67hPq2MNx5S74C99A4l4tn2pbzzydG1pp/ry/OBDInT06xnB85JnEmEIWx3m9ddfd6tWrXI8X9td8lsdj/ZFIHUC0/LIIH8DgNF/Gtghft4LGBkZcTR8g1/e23WfjbCbmR9pp9FemyaN5VBJhFEFGt214aqPafi+9tprjsY0FRHnmJa88847J41IkF8+fxrCEbaRo3NBQzmcD/ZQiQa/elu+tFQ9zclsBY2mV199dULwK664wr388ssOW3BUoNj37W9/2y+vwI/GP2sm9+3b56+l00BHgbWU3uP0D50mOgq18dO5CfYTF/HTuaETcfoy/RcBERABERCBKQnQsWeGb8qAdQI89NBD3veqq67yW/2IQJkIlMmWXDoA559/vs9j9XKfzZs3+xmAiy66yJ8r4ocRAEYFgwuN027TpnL68MMPHQ1ts/HOhZk5Ohy1IxJLlixxg4ODLSfJaL/ZeJxct2vXrpavzSMgnQ9swBaziXZxLo8084rTzPKKWvGWgICZ9C2BDLmZYCZ9c4NbgojN2tO30fOHQT2WDjGzrcGnEggrE8pKIJ93APhjX7y0R0FkqQiOz4Ju2LDBL6cpK4127GLUnSU6oXMRtizzYTagnbhCWGYoWEZEB4P4mNpk1D6c79UWG7AFm6pdVh2qovKF7UWl1TgdnWmHAEsAGAmkTFRfF47DUiDOSV8oxOWkb1x6tWttp/pSrpnFbtTIZ4kqz9pGA2wM/mErKxEIy76cCIjABAL5vQNAJ4ClLyxNwW3cuDGZxj+VExhDI4T9bh2VFBUaL9t22oHo1oZ611OB185q1AsnPxHIg0CjssYyPRoI4XweaSvO/AkE/Wrr0mT1zR9pqVLoVF+egTwLGy0hZYkqS1VZsspy09pMcz1fCiJM9fLV2nA6FoF+JpDLEqCUgNarwPgqAVOMfNa0eoqR5TuM4k+Vf5bTMHJRPbpBJcZXc6orPD6DxvKbqeLL8zzr+omf5U1scXRWqJzDy9L4teLqsWzluqzCmLU3xZxVuoqncwLhPZjqssY7ODQQeeeGB32I3Uz6BhaxbKVvLEp1Zmc3+oZR/Msvv3zC534p/6wq4Bkc3t+rZx3PaT4XzHts7T6r6sUnPxHolkDZrk+6A0Cj1cz8C8Bm49t2KwIqESoaPmFpZpU/PsTyFxrBNGrNxuOmQY//VCLT2GfkgorJzBzx0KgOFV6Ik/hCA3yqOPM6TwOLl4TpmJiN55MODPY3q3zr2dOIZb2w8hMBCFBWeHGdDnMoF7x7w5eoeGmeMHLxEpC+8WrXiuXd6MuzJ8yKh7JvZv7dO8p/K89a6gieoXwViI5DKzYrjAj0CYF83gHoNbxQcbAmuNaFRiuNUf5acTjGZiornU01AQAAEABJREFUGrq1FQvHIR4qFMLiqv05zzH+wXFMfMQb/MKWdLkGF8LU2s31wYXrOA7h8SMe8kF+OMaFeGptrb6OcJyngiU8x7hm8WFrcIQjPI78ETe2cRxcvfgJE+LgfAhbxJZ0i0incRo60wmBcH+hX3DV91+Ik3NhX9t4CEjfeLTqxNJu9a1+ZlDGcfXKP89AnoW157gef853Yr+uEYFECeT3DkCiwJStiAmYWcTWy/SpCJhJ36kYxXzeLHJ9Y4ZfgO1m0rcAzEpCBCoEkl4CVMmldkRABERABERABERABESgBwTKmKQ6AGVURTblQoCp41wiVqSlICB9SyFDbkZI39zQliJi6VsKGWRE/xCwaeEv9PJXemN15IGXaPlWvdyoE4P6DE6dOtVDNvVtklbZcZG+2bEs430pfaVvGe9L2ZT2fZmqvkeOHDln2sDAgEvB9U+nTTntlICZ1ph2yi6G68ykbww6dWqjWcT6dprpPrrOTPr2kdzKagkI+CVAs2fPdjE7OPKlAT5PKTfoxKA+g+nTp4vNYH02Kdwz0jddbbk/pa/05T6QS/s+SFHfMuZp3rx5B3wHwOmfCPQBATONMKUss5n0lb4pE0g7b2Yqv2krrNyVjIA+A1oyQWROkgSUKREQAREQAREQAREoDwHNAJRHC1mSMwF9ZSJnwD2OXvr2WICck49W35y5pBK99E1FSeUjFgLqAMSilOwUAREQAREQAREQARGIhkCJDbVcOwAbNmxwQ0ND3q1evdodO3asxCxkWuoEzLTGNGWNzaSv9E2ZQNp5M1P5TVth5a5kBPJ5B+DkyZPunnvucZ988onbvn272717t1u2bJn7+te/7jhXMghRmnPrrbe6FStWOP7+QZQZ6BujlVEREAEREAEREAERKBeBXGYA3nnnHff++++7O+64w82YMcPn+KabbnIff/yx+/DDD/1x7D80vGmA0xBvlpeXXnrJmZljS7hWryNsI3f48GG3c+dOd9999zk+f9oonPwnEtAa04k8UjuSvqkpOjE/Ueo7MQs6akJA+jaBo1MikAOBXDoABw8edOedd54766yzKiYvXbrUbd261bGteOa0QwP5nHPO8Q3vZg30t956y82cOdOHCw30nEzKNNotW7b4+C699FK/ffTRR30ezGzCFn8fQD+egJn5rX7iI0A5NrPK/V3v3jaz+DImiz0B6esxJPvTjb6UdTOrlH0zc8RXCys8z6uf5WHAjfYA7YLaa3QsAnkSKHnc+bwDsH//fjd//nz34osv+vX/vAfQi3cAvvjFL7rnnnvOUTHUE+Lxxx93c+bMqcxS1AvTrd91113nGNlg221cXE+F9sorr/jlP4sWLcLLu7PPPtsdOnTIp0V6b775pnvwwQddJxUfFSgdo0bcfIL6EYGCCPCwZ8Yr3N/h3qZhUJAJSiZHAtI3R7gliLpTfXnWrVixwj/HKPM813DUA9QHrTzb7rrrLvfGG2+4F154wVU/L0uARSaIQK8J5PMOALli7T9b1v/jeAdg7dq1hb4ITMdj7ty57tVXX8WUCY7RACqRNWvWTPAv+8G+fft8hXbzzTc3NfWSSy7x714cPXrUrVu3rmnYfjnJw6PYvCq1bgnQCaUTv2nTpsoDnHv7gQcecE8++aSjHIc0pG8gEc9W+sajVSeWdqPvE0884Z91tB8o8yF9GvI06Hm2hdnwcK56ywABdUft9dVhtC8C/UwglyVAAL3mmmsco/7s426//XY2bseOHX5bxM8P/MAPuDvvvHNSQ4G0qTiWLFnirrrqKg4nORoWjDCYWWXqkZHxSQFPe1DRmI2Hqx05pwLEr9G1py/3/6vjMDPHsT9R80Nn5rLLLnNXXnllzZnJh1SadBTo6JCfEIK4zcbtNZs4ncpozcqVK/3L2iwxMjtjC3FUMyFf5C/EW/atmZXdRNlXQ4DRPrwWL17MpuIuuOACRwMgnOeEmfSFQ0wu6JekvjEJkZOtnerL6D8z3Ty/eI7VmsdSYp6DhCFs7Xmetwx8sey43vW14XUsAv1IILcOQC3MgYEBt2DBglrv3I9p4NNQYAoxJEZDltHDa6+91g0ODgbvypZG7Re+8AXfeWBUEbdt2zZHw5jGcyXg6R06Eu+++25l6Q0V1o033jhhZPJ0sKb/aXRTkY2Ojvp4qDSxrzatartbffkXe8g/cWIEcVbbCxdGSfDn/DPPPOPIKy9vc46833///T4/8GLkBT8ccbebV9LolcPmXqWtdDsjwL3KLF5tAzEch/ua2KUvFOJy0jcuvdq1tlN9eRaylJiOfr00ef7xPCIMYavDvP76627VqlXukUcecVktva2OX/si0AqBCMLk8w7AFVdc4T8BWv3Jz7GxMTcyMuJYq14kmDBS8Nhjj1U+mUnDFhsaLf/h3QBGF1g/SDgcFQnhaahXjzjgR6OZMLi7777bj0yGNPBr5uhsvPbaaw77qNQIyxQnMxe1aREnjXk6NYTrxNGYr7Y38KGibhYfNv3qr/6qqx5NoQOAPdWNsGZx6JwIiIAIiIAITEWAZwrPlqnC1Tv/0EMPee9unpM+Av2IQNoE8nkH4KKLLvLYeAnY75z+2bx58+lf584//3y/LeqHRjWfy+RFINbP03insc3LRTRqa+3g/IEDB/zLs1xbfZ7RiHojDtVhGJlkxHKqBnW4hoqOT6OG5TZm5pccrVu3ztWmxUg9HRMa7eH6TraM9puNp8MMyK5du1qKhhmI6iVAzIi0dGFJAplZgZYoqaIJmEnfopkXmZ6Z9C2Sd9FpmbWnb6NnLDPYDE7FNDtdNGulJwIQmMZP1o7lI/wVYKbieBEXt3fvXseLfHx1J+v0poqPxjWNckb26QR873vfc4zUT3VdUefhxeg+SxiqHR2R0Emh8c1afjoztR2TZnbSaSDvdEwIx3IjlhfR8SAtpk+ZseFcM8dMRb1lUc2uKds58ls2m2RPcwJ0uhkJ5H6tDhmOw33NOekLhbhcsvrGJUNu1naqL+Wa51ajRn4YqFuyZEndZbws/yFTvIdIWPblREAEJhLIpQNAEjRqN27c6L9Ew1v4w8PD/pObnCva0YhmSU1oQP/gD/5gw79HQOOaUW4a37UVB5VRowon5ImGCQ0WKr7g12xLRcd5rmPbyPGuAefozLBtxYVOQ5jtID/kKxy3EkcIE+zTtGogom0RBBqVj9qObRG2KI3sCUjf7JmWKcZO9eWZzXOKZzbPsdo8MZDHrH6jATGu5301wlQv5a2NR8cikAeBSOLM5x2AMmaehisNc5a7NKo0gt1MHxKOz5AFP74qQCO89lr8GFUnHA1szrNMp5Wv9HANa+pJj0+kVld0LNOpjpf3AagQqdi4bioXRuzpsIR8hM5NdaXKOfJaHV+9Sjv48RUiwmIrNrMfizNrb4o5lnylbCfL3ShP3Gvcc+SVe5sOAJ366vJgJn3hE5OTvjGp1b6t3egbRvEvv/xy/xGKkDrln1UFPDd5Ny/41255tvK5YJ7RPL9rz+tYBPqcQD7vAJQRKpUBFQYvIU81ik6lwpIc/pCWmfk1+XxVAD/OVecvVFJm5qciWbfPbAeN7epwzfZ5KZfGPY1ss/H0mG3An+vCaAf2c1zP8deXq68nj3wCjcZ+tS3B3hCWdHiRuTrOwIo1/mbjnwHFj8qUdxPMzLEc6Ctf+UrPZnWq7S3fvizKigD37ssvv+zoyIZ7NtzbvNCeVTqKpzcEpG9vuBeVajf60rkPM9ah7JuZC+U/PB+b5YU6gucbz286Ds3C6pwI9BuB3JYA9RJkqDgo/NV2UGFQoXA++NOwPXHixKTPhQV/1hXjCINfuI6KjcY1aRAvYXBTxR+u45oQF1uOuT44jvHHMerOekgqPo5rHTaE66q3tZ0VriPv2BjCkU5wnA8OvxCG+PFnG/zg8TM/8zOOjkc1F8KV1WF7WW2TXY0JhDKDfsHVu7c51zgWnSkrgeT0LSvoHtnVrb7VzyLKOK5e+ec5xHOp9hzX48/5HiFQsiJQSgJJdgBKSbpDo1j2wEu7tcsdOoyury8zs77Of+qZN5O+KWtsJn2lb8oElLcUCMSUB3UASq5WGLFn9L3kpso8ERABERABERABERCBCAioAxCBSDIxGwJMHWcTU7NYdK5XBKRvr8gXk670LYZzr1KRvr0ir3T7lcC08Bd6+Su9sTrywBd4+Ka93KgTg/oMTp06JTaj9dmkcM9I33S15f6MQt+Eyxca5Omkb9rlN897R3G3f+8cOXJkybSBgQGXguvXHpzy3ToBM60hbp1WfCHNpG98qrVusZn0bZ1WfCHNpG98qsniagKR7Y9/BnT27NkuZgd0vjQwODjoP8WprTjUuwemT5+u+yPhMiJ90y730lf61qvX5Zf2fSF989F33rx5H+gdAKd//ULALO8Rpn4hWc58mknfciqTjVVm0jcbkuWMxUz6llMZWZUqAXUAUlVW+RIBERABESiOgFISAREQgXgImDoA8YglS7skoK9MdAmw5JdL35IL1KV50rdLgCW/XPqWXCCZ15RAhCfH3wGI0HCZLAIiIAIiIAIiIAIiIAIi0AGBXGYAhoeH3dDQUF3HuQ7s1CUi0DUBszzXmHZtniLokoCZ9O0SYakvN5O+pRaoS+PMpG+XCHW5CLRFIJcOwOrVq93u3bsnuDvuuMN9/vOfd1dffXVbBiqwCIiACIiACJSagIwTAREQgbgIFPMOwL59+9wv//Ivu7Vr17o5c+ZEg4g/LrZixQp36623RmOzDG1MQGtMG7NJ4Yz0TUHFxnmQvo3ZpHBG+qagYn/mIdJc5/8OwMmTJ91TTz3lli9f7l2RoA4fPuzOOeccZ2YVN3PmTPfWW28VaYbSKgkBMyuJJTKjXQJ0ws2sUo4fffTRSVGY2SQ/ecRBQPrGoVOnVnajL2XdzCpl38zqDsrxXOf5/tJLL1XMDIN4tANoD1ROaEcERMDlsgSomus777zj3n//fXfTTTdVe+e+TyWwePFixwg+IwvBPfDAA+7SSy91VCrVRnCsSqKaiPZbJ6CQeRKg8bBz50536NAhRzl+88033YMPPjipDOdpg+LOj4D0zY9tGWLuVN/QeKesU+Yp+zjqAeqDVp7Xd911l3vjjTfcCy+84BYtWlQGHLJBBEpDIPcOwK5du/zI/9KlSwvLND19lhutWbPGPfPMMxPSvf/++x3+Tz75pCPchJM6SJoAD4+kM5hg5hjVe+6559ymTZsqD/BLLrnE0ZGvLcPSN74bIAl948NemMXd6PvEE0/4xjvvE1Lmg9E05GnQHz161G3ZsiV4T9oyqEfdUXv9pIDyEIE+JZBrB+DYsWNu79697oorrigUL6MFVA5333133XRvvvlmd/DgQUe4MMqwbt0678esgZk5ZhCqL6YyMRufhqw38hDiMRsPw1QklV+Ig/2zzz7bx8v1ZqYRzACnoK2ZFZSSksmKAKN9xEW5ZBvcBRdc4Cjj4WGGS8gAABAASURBVDz+ZtIXDjG5oJ/0jUm11m3tVF+ep6+88orjWV3d+A8pM6B42WWXOcIQNviHLc9vnulbt2519a4P4bQVgW4JRHx9vi8Bv/fee57N+eef77dF/bz77rtu7ty5rvahEtJnCRCNccLNmjXLMZ34yCOPOPyosBhJvO6660JwP8pAWPxHR0fdkiVLHJVLCMBMwoUXXuiuvfZav0SBcFQ8fAqVhn8IR4do5cqVfjSTMMxGhHPa5k8A5vmnohSyJEC5q1eWQ9mmvIb0pG8gEc9W+sajVSeWdqovz9n9+/c7Ovr10uW5zfOWMIStDvP666+7VatWOZ7p1c/x6jDaFwERcPm+A8Ao+4IFC9zAwEChrKl0skyQJUNhKVGoeOg00PAnHaYh6RSw3pBj3JVXXukYoXj11Vc5rDhVShUUiewoGyIgAiIgAlkSoGPPDF8ncT700EP+squuuspv9SMCIlCfQK5LgOidz58/382YMaN+6j3y7aZyqWcyHY5du3a5wcHBypcK2MePc9XXNBrRqA6j/XwImFk+ESvWUhAwk76lECInI8xKqG9Oee3HaM3a07f22RqYbdu2zS8duvHGG/WeX4CirQjUIZBbB4DPf37yySd+uUyddHP1opHN6AEN/XoJ4Y99hKt3vhM/3nNgKpJlCNUuzBx0EqeuyZYAumQbo2LLmwBltF5ZpgyTdlgKxL70hUJcTvrGpVe71naqL+WapX+NGvms+z9w4IBvXzDYVmsXM+348UdJCcu+nAhkTSD2+HLrADDqv3HjRkcBLBpSmPqrXX4T7ODLADTYWaYT/LrZUskx20EHoJt4dK0IiMBEAjQE8AkNfvZxlGEaCOE8fnLxEQj6Sd/4tGvF4k715Us/K1ascNVLbavT44+L8nnP++67z7Est/oc+1zPl4IIU700l3NyIiAC4wRy6wCMR9+bX9765zOB69atm/SlHb5JTOPhsccem1Bx0IivN9LYSg54R4BwpMcWx6jDitMVGF8j4Fiu9wTM2ptintpihcibQPjaB5/1De/c8GI9ZfjOO++sfBoUO8ykLxxictI3JrXat7UbfcMo/uWXXz5hKQ/lnw9s8IWgZi/5hnYA7+jpOdy+droifQJJdgCQjS/s8JlP/oiImVXW5jNtODIyMunTYMwG8NIuXwgym/wZUOJs5Bht+Pa3v+0YrTAbT4tpSUYnmlVQjeKTvwiIwDgBRvdefvllP9XPaKKZ+T/kx1e2KOPjofQbK4Go9Y0VeoF2d6Mvz1We1ytOD6SFsm92pvy3sryWOoIBOr4KRMehwKwrKREoPYFkOwCQZwTgxIkTlU9zskaYRjqVEuerHX6cIwyOhnvwq61oqFSomKigQhzs48e1wRFHOB9sqfYL57QthgC6FJOSUsmSQCiH6BdcvXLEuSzTVVzFEJC+xXDuVSrd6svzl7Jd7eqV/0bPWK6nHcD5XjFQuukRSCFHSXcAUhBIeciOgJllF5liKh0BM+lbOlEyNMhM+maIs3RRmUnf0okig5ImoA5A0vIqc/kRUMwiIAIiIAIiIAIiECcBdQDi1E1Wd0CAKeQOLtMlkRCQvpEI1aGZpdK3wzzossYEpG9jNjojAnkQmDY2NuZ4KTZmRx746g6f4ZQbdWJQn8GpU6fEZrQ+mxTuGembrrbcn9JX+nIfyKV9H8Sgbwo2Hjly5NxpAwMDLgWXR+9IcaZFwExrTNNSdGJuzKTvRCJpHZlJ37QUnZgbM+k7kYiORCBfAn4J0OzZs13MDkR8aYBPb8oNOjGoz2D69OkZsakfv7j3lov07S3/vO9/6St9877HFH/a95j0PaPvvHnzPvAdAKd/ItAHBMw0wpSyzGbSV/oWQEBJ5ELATOU3F7CKVAQaEFAHoAEYeYuACIiACIiACIiACIhAIJDSVh2AlNRUXpoS0FcmmuKJ/qT0jV7CphmQvk3xRH9S+kYvoTIQGQF1ACITTOb2moDSFwEREAEREAEREIG4CeTWATh58qS755573NDQkHfs4xc3LlkfMwEzrTGNWb+pbDeTvlMxivm8WQn0jRlgyW03k74ll0jmJUYgtw7Axo0bPart27c7HAfBj305ERABERABERABERABEYiBQGo25tIBOHbsmNu7d6+75ZZb3IwZM7y744473He+8x23b98+l/q/l156yc2cOdO99dZbqWc1qvxpjWlUcrVtrPRtG1lUF0jfqORq21jp2zYyXSACXRHIpQPQlUVdXkzj28ycWX2nhnmXgCO+3My6tF6X94rArbfeOqFMP/roo5NMMZO+k6BE4iF9IxGqQzOlb4fgdJkI5Egglw7AnDlz3LJly9yzzz7rwrr/559/3i1cuNCdddZZOWbHueuuu84xkoDjzzVfccUVbs2aNRW/EydOuEsuuWRKG44fP+5WrFjhqLimDKwAIiACuRGgDO7cudMdOnTIl+M333zTPfjgg65eJyA3IxRxbgSi0Tc3AmlHLH3T1le5i5dALh0AcKxfv97Nnz/fXXPNNf4lYPx4B4AlQezLiUDRBOgUFp2m0uuOAMvonnvuObdp0ya3aNEiHxkd+AceeMA9+eST7vDhw96PH+kLhbic9I1Lr3atlb7tElP4shJI0a5cOgC8A7B69Wq3ZMkSt3v3bu/Y/9KXvlSadwAYPTSzyrICRvsZ9UdkKq0FCxa4Xbt2uS1btvgw55xzTqWxUbvMqPparpcrJwEzK6dhsqohAUb9Obl48WI2FXfBBRe4o0eP+lmB4GkmfQOLWLbSNxalOrNT+nbGTVeJQBEEcukA7Nixw9GAvv766yt5YP+8885zb7/9dsWvVztMSTJ6SOXEqCFLhbDlwgsv9I18RhhHRkZc9fKhAwcO+BFIGv+PPfaY4xquJY79+/e7u+66iyjkSkwAvTo3T1f2gsC7777r5s6d62o7AOGY8hfskr6BRDxb6RuPVp1YKn07oaZrRKAYArl0AIoxvbNUGN2vXVIwa9YsR6OeEUXWFzeLmXcMWI/MNYRjWQIzAHQQwgwC/nIiIAIiIAKJEFA2REAERCAxArl0AK6++mrHCPqLL75YwcX++++/7y6++OKKXy92wohhGEEMNnDMSCMjFsGv0ZZZADPzS4PMzC8TahRW/uUhYGblMUaWZE7ATPpmDrVEEZpJ3xLJkbkpZtI3c6iKMBMCqUaSSweArwDx0t62bdv8C8BDQ0OOfdbTL126NGqWvDuwatUqx0wBSw5wfGUo6kz1ifFo1SdZTSab9db6k7l6HXnpC5m4nPSNS692rZW+7RJTeBEojkAuHQDMpxMwPDzsXwDmRWD28eNcLx0j/aQfGhDs4zhmCRAVFseNHDMEl112mYu9I9Mof/KvR0B+vSLQqLyyjI8Zu3C+V/Yp3e4IBP2of6tjkr7VNOLdl77xaifL0yeQWwegrOhouNOAX7t2rX/hFztZu3/fffc5/K+88kq8HGv8+fJP7dp+OghvvPFG5WtGLAdiZsNfpJ9SEzDTFHOpBapjXL3yGt7jufPOO/2L+eEyM+kbWMSyjULfWGCW0E7pW0JRZJIIfEag7zoANOx5iZcXdxmdMDM3ODjoaOzjz/nP2Li7777b0dgP5/nmOF/7oaNw6aWX+ncAeHn4537u58Il2oqACGRIgPL48ssv+08Kh/JK2du6dau7//77M0xJUfWCgPTtBfXi0pS+xbFWSvkQSDnWaSlnjsqHRv0zzzwzKZv4sWY4OI5rA/E50BMnTjjCMBPAF39CnPjhiP8XfuEXHFvOEQdfCuI6rudYrhwE0KsclsiKdghQrihf6BccZaw2Ds7V+um4/ASkb/k16sZC6dsNPV0rAvkRSLoDkB82xRwjAbNOlojEmNP+tNlM+qasvJn0lb4pE1DeRKBYAuoAFMtbqYmACIiACMRCQHaKgAiIQKIE1AFIVFhlazIBLRGZzCQlH+mbkpqT8yJ9JzNJyUf6pqRmGnlJPRfTxsbG/B/t4g93xerIA1/yGR0ddXJi0OgeOHXqlO6PhMuI9E277Etf6duobpd/2veG9M1e3yNHjpw7bWBgwKXgUu+pKX/dEzBrdw1x92kqhuIImEnf4mgXn5KZ9C2eenEpmknf4mgrJRFwzi8Bmj17tovZISRfGuBznXKD/rOm4jCZw/Tp08VmcDKXVO4V6ZuuttyjheubcFmBZ9mc9E27/Jbtfut3e+bNm/eB7wA4/ROBPiBgZn2Qy/7Nopn0TVl9M+krfVMmoLyViUA/2KIOQD+orDyKgAiIgAiIgAiIgAiIwGcE1AH4DIQ26RNo7ysT6fNILYfSNzVFJ+ZH+k7kkdqR9E1NUeWn7ATUASi7QrJPBERABESgWAJKTQREQAQSJ5BbB+DYsWNu9erVbmhoyLsNGzYkjlLZKzsBM60hLrtG3dhnJn274Vf2a82kb9k16sY+M+nbDT9dmx2Bfokplw4Ajf+1a9e6ZcuWud27d3sHUHUCoCAnAiIgAiIgAiIgAiIgAr0jkEsH4L333vM5uv322/2WH/b379/v9u3bx6GcCBROoPU1poWbpgQzICB9M4BY4iikb4nFycA06ZsBREUhAm0QyKUDcPDgQbdgwQL/B8aCLfyxsZkzZ7qjR48GL21FoFACZppiLhR4wYmZSd+CkReanFlB+haaKyUWCJhJ38BCWxEogkAuHYCzzz7bjYyMuLGxsUoe2MePzkHFUzsiIAIiIAIiIAIiIAIiUAIC/WRCLh2A888/3zPcvHmz3/KzY8cO99FHH7ErJwI9IaAp5p5gLyxR6VsY6p4kJH17gr2wRKVvYaiVkAh4Arl0AObMmeM2bdrk9u7d678AxJeAjh8/7i6++GKfqH5EoBcEzFqZYu6FZUozCwJm0jcLjmWNw0z6llWbLOwyk75ZcFQcItAqgVw6ACROJ2B4eNh/AYgvAd14441+WRDLgzgvJwJFE9AIU9HEi01P+hbLu+jUCtG36EwpvQoB6VtBoR0RKIRALh0AvvSzatWqCV/8CV8GCsuDCsmdEhEBERABERABERABERCBKQj02+lcOgBnnXWWW7hwoXv++ec9T/4uAEuCVq5c6ZgZ8J76EYGCCZhpirlg5IUmZyZ9CwVecGJm0rdg5IUmZyZ9CwWuxPqeQC4dgBkzZrivfvWrlXcAbrjhBkfjn78M3PfEBaBnBKaeYu6ZaUo4AwLSNwOIJY5C+pZYnAxMk74ZQFQUItAGgVw6AKTPSH/1OwBq/ENFTgREQAREoJQEZJQIiIAI9BGB3DoAfcRQWY2EgJmmmCORqiMzzaRvR+AiuchM+kYiVUdmmknfjsDpokwI9GMk6gD0o+rKswiIgAiIgAiIgAiIQN8SUAegb6Xvv4w3X2PafzxSy7H0TU3RifmRvhN5pHYkfVNTVPkpOwF1AMqukOzLjICZppgzg1nCiMykbwllycwksxz1zcxKRdQpATPp2yk7XScCnRBQB6ATarpGBERABERABERABEQgegKyq5T+AAAQAElEQVT9mgF1APpV+T7Mt6aY0xZd+krftAmknTuV37T1Ve7KR2Da2NiYGxkZidqRh+PHj7vR0VE5MWh4D5w6darBOd03KZQd6Zv2fSx9pW8K9ZTykPZ9HIu+R44cOXfawMCAS8GVr28li8pGwExrTMumSZb2mEnfLHmWLS6znPQtW0b71B4z6dun0ivbPSLglwDNnj3bxexgN2vWLDc4OCgnBg3vgenTpzc8p3sn/rIjfePXsFk5lL7St9n9oXNp3x956duv8c6bN+8D3wFw+icCfUDATCNMKctsJn2lb8oE0s6bmcpv2gord2UjoA5A2RSRPQUTUHIiIAIiIAIiIAIi0F8E1AHoL737Orf6ykTa8ktf6ds2AV1QGgIqv6WRQob0CQF1APpEaGVTBERABERABERABERgnEC//+bSAdiwYYMbHh6exBb/oaEhh1u9erU7duzYpDDyEIG8CJhpjWlebMsQr5n0LYMOedlgJn3zYluGeM2kbxl0kA39QyDzDgCN/O3bt08iSIdg79697pvf/KbbvXu3W7Zsmfv617/uTp48OSmsPESgGAJKRQREQAREQAREQAT6j0BmHQBG8xnV37Nnj1u8ePEEkpzbtm2bW7t2rZszZ44/d/vtt/s/PvbOO+/4Y/2IQN4EtMY0b8K9jV/69pZ/3qlnrm/eBiv+tghI37ZwKbAIdE0gsw7Ajh07/Kj+s88+6xYuXDjBsKNHjzoK99y5cyv+dASYBTh48GDFTzsikCcBM00x58m313GbSd9ea5Bn+mbSN0++vY7bTPr2WoN+Sl95dS6zDgCj/+vXr6/LlA6AmbnqDkAIuH///rCrrQiIgAiIgAiIgAiIgAiIQM4EMusA5GynoheBrgkwC3UmEu2lRkD6pqboxPxI34k8UjuSvqkpqvyUnYA6AGVXSPZlRsDMMotLEZWPgJn0LZ8q2VlklqG+2ZmlmDIiYCZ9M0KpaESgJQKFdABY+kPvnqVAtVYtWbKk1kvHIpALAe7BXCJWpKUgIH1LIUNuRkjf3NCWImLpWwoZ+sIIZXKcQGEdADNz1R0AvgzEZ0HPPvvscUv0KwIiIAIiIAIiIAIiIAIikDuBQjoAfPFn5cqVbtOmTZU//rV582a3YMECd9FFF+WeSSUgAhAwC1PMHMmlRsBM+qamaXV+zKRvNY/U9s2kb2qaKj/lJlBIBwAEfCWIz37ecMMN/i8BM/r/1a9+1c2YMYPTciKQOwFNMeeOuKcJSN+e4s898cz0zd1SJdAJAenbCTVdIwKdE8i8A0CDfuPGjY4Gf61ZfCZ09+7dDjc8PFz5o2C14XQsAiIgAiIgAiIgAiIgAlkSUFxnCGTeATgTtfZEoFwEzDTFXC5FsrXGTPpmS7RcsZlJ33Ipkq01ZtI3W6KKTQSaE1AHoDkfnU2OgDIkAiIgAiIgAiIgAv1NQB2A/ta/r3KvNaZpyy19pe+UBBSgtARUfksrjQxLlIA6AIkKq2xNJmCmKebJVNLxMZO+6ag5OSdm0ncylXR8zKRvOmqWMyeyaiIBdQAm8tCRCIiACIiACIiACIiACCRNQB2ApOVV5qoJfPrpp9WH2k+MgJYQJCZoTXakbw2QxA6lb2KCKjulJzBtbGzMjYyMRO3Iw/Hjx93o6KicGDS8B06dOtXwnO6d+MuO9I1fw2blsGt9VTeWuv6TvmmX32ZlW+eK1/7IkSPnThsYGHApuNJ3tWRgzwmYaY1pz0XI0QAz6Zsj3p5HbSZ9ey5CjgaYSd8c8fZ91AIwmYBfAjR79mwXsyNbs2bNcoODg3Ji0PAemD59esNzunfiLzvSN34Nm5VD6St9m90fOpf2/SF9s9V33rx5H/gOgNM/EUiegHNmGmFyCf8zk74Jy6vym7K4p/NmpvJ7GoP+i0BhBNQBKAy1EhIBERABEegJASUqAiIgAiIwgYA6ABNw6CBlAvrKRMrqOid9pW/aBNLOncpv2vr2MndKuz4BdQDqc5GvCIiACIiACIiACIiACCRJIJcOwL59+9xtt93mjh07NgkafpwjzKST8hCBXAiMR2qmNabjJNL8NZO+aSo7nisz6TtOIs1fM+mbprLKVVkJZN4BoGF/7733Or7LX5tpGv9r1651hw4dqj2lYxEQAREQARHInoBiFAEREAERmEQg0w7A8PCwH/lftGjRpIT27NnjbrjhBr9Ol885TQogDxHImYDWmOYMuMfRS98eC5Bz8tI3Z8A9jl769liARJNXthoTyKwDwOj+r/zKr7inn37a/eRP/uSEFE+ePOmeffZZ9/DDD7uf//mfn3BOByJQFAEzTTEXxboX6ZhJ315wLypNM+lbFOtepGMmfXvBXWn2L4HMOgBz5szxjf+lS5dOojljxgy3ceNGt3z58knn5CEC+RJQ7CIgAiIgAiIgAiIgAtUEMusAVEeqfREoIwFNMZdRlexskr7ZsSxjTB3pW8aMyKa6BKRvXSzyFIHcCKgDkBtaRVw2AmaaYi6bJlnaYyZ9s+RZtrjMpG/ZNMnSHjPpmyVPxeWcGDQnoA5Acz46mxABjTAlJGadrEjfOlAS8pK+CYlZJyvStw4UeYlAjgTUAcgRrqLuNQGlLwIiIAIiIAIiIAIiUEtAHYBaIjpOloCZppiTFfd0xsyk72kMyf43a1PfZEmkmTEz6ZumsspVWQmoA1BWZWRX5gQ0xZw50lJFKH1LJUfmxkjfzJGWKkLpWyo5ojdGGZiaQC4dAD73yR8F49OgtSbwmdCtW7c6trXndCwCIiACIiACIiACIiACIpAvgVw6APmarNhFoBUCk8OYaYp5MpV0fMykbzpqTs6JmfSdTCUdHzPpm46aykkMBNQBiEEl2SgCIiACItA6AYUUAREQARFoSkAdgKZ4dDIlAlpjmpKak/MifSczSclH+qak5uS8SN/JTOTTGQFd1RoBdQBa46RQCRAw0xRzAjI2zIKZ9G0IJ4ETZtI3ARkbZsFM+jaEoxMikAMBdQBygKooe01A6YuACIiACIiACIiACDQioA5AIzLyT46AppiTk3RChqTvBBzJHbSsb3I5748MSd/+0Fm5LA+BaWNjY25kZCRqRx6OHz/uRkdH5cSg4T1w6tSphud078RfdqRv/Bo2K4fSV/o2uz90Lu37o1V9Fa61++DIkSPnThsYGHApuPL0qWRJWQmYaY1pWbXJwi4z6ZsFx7LGYSZ9y6pNFnaZSd8sOCoOEWiVgF8CNHv2bBezI7OzZs1yg4ODcn3PoPE9MH36dN0fCd8f0rfxvZ9C3Sh9pW8K97HykPZ9HIu+8+bN+8B3AJz+iUAfEDDTCFPKMptJ377XN2UAiefNTOU3cYmVvZIRUAegZILIHBEQAREQAREQAREQgfYIKHR7BNQBaI+XQkdMQF+ZiFi8FkyXvi1AijiI9I1YvBZMl74tQFIQEciQgDoAGcJUVL0moPRFQAREQAREQAREQASmIpBLB2DDhg1ueHh4QtrHjh1zq1evdkNDQ96xj9+EQDoQgRwJmGmNaY54ex61mfTtuQg5GmA2hb45pq2o8ydgJn3zp6wUROAMgcw7ADT+t2/ffiaF03s09NeuXetWrlzpdu/e7R37+HHudBD9FwEREAEREAEREAEREIG2CeiC9glk1gGgIc+o/p49e9zixYsnWPLee+/546uvvtpv+Qn74Rx+ciKQJwGtMc2Tbu/jlr691yBPC6RvnnR7H7f07b0GsqC/CGTWAdixY4dbtmyZe/bZZ93ChQsnUFy+fLlfEjRnzpwJ/joQgewITB2TmaaYp6YUbwgz6RuvelNbbiZ9p6YUbwgz6RuverI8RgKZdQAY/V+/fn3LDBj5//73v+/mzp3b8jUKKAIiIAIiIAKTCMhDBERABESgLQKZdQDaSXXfvn2OdwV+/Md/3C1durSdSxVWBDomoCnmjtFFcaH0jUKmjo2Uvh2ji+JC6RuFTKU0UkZ1RqDwDgCN/3vvvdexLIhZg87M1lUi0D4BM00xt08tnivMpG88arVvqZn0bZ9aPFeYSd941JKlKRAotANQ3fhvZ7lQCqCVhzwJtBa3Rpha4xRrKOkbq3Kt2S19W+MUayjpG6tysjtWAoV1AELjn2U/avzHervIbhEQAREoGQGZIwIiIAIi0DaBQjoAfCL0a1/7mqPxr2U/bWukCzIiYKYp5oxQljIaM+lbSmEyMspM+maEspTRmEnfUgpTcqNkXucECukA8InQjz76yD311FNuaGhoghseHu7cel0pAm0Q0BRzG7AiDCp9IxStDZOlbxuwIgwqfSMUTSZHTSDzDsCMGTPcxo0bXfVIP/vhLwDXbjkXNUEZ32MCSl4EREAEREAEREAERKAdApl3ANpJXGFFoEgCZppiLpJ30WmZSd+imReZnlkdfYs0QGnlSsBM+uYKWJGLQA0BdQBqgOhQBERABERABERABESg3ARkXXcE1AHojp+ujoiA1phGJFYHpkrfDqBFdIn0jUisDkyVvh1A0yUi0AUBdQC6gKdLe02gvfTNNMXcHrG4QptJ37gUa89aM+nbHrG4QptJ37gUk7WxE1AHIHYFZb8IiIAI9CMB5VkEREAERKBjAuoAdIxOF8ZGQFPMsSnWnr3Stz1esYWWvrEp1p690rc9Xv0eWvnvnsC0sbExNzIyErUjD8ePH3ejo6NyYtDwHjh16lTDc7p34i870jd+DZuVQ+krfZvdHzqX9v0hfbPV98iRI+dOGxgYcCm47vtCiiEuAu1ba6Y1pu1Ti+cKM+kbj1rtW2omfdunFs8VZtI3HrVkaQoE/BKg2bNnu5gdQsyaNcsNDg7KiUHDe2D69OkNz+neib/sSN/4NWxWDifoq3ouubpM+qZdfpuVbZ0rXvt58+Z94DsATv9EoA8ImGmEKWWZzaSv9E2ZQNp5M1P5TVvh7HKnmLIhoA5ANhwViwiIgAiIgAiIgAiIgAhEQUAdgChkkpETCXR2pK9MdMYtlqukbyxKdWan9O2MWyxXSd9YlJKdqRBQByAVJZUPERABEegHAsqjCIiACIhA1wRy6QBs2LDBDQ8PTzIO/6GhIYe755573MmTJyeFkYcI5EXATGtM82JbhnjNpG8ZdMjLBjPpmxfbMsRrJn3LoEPZbZB92RHIvANAI3/79u2TLMT/k08+cZzbvXu3mz9/vtu4ceOkcPIQAREQAREQAREQAREQARHIj0BmHYBjx4651atXuz179rjFixdPsJhz+/fvd3fccYebMWOGP3fTTTc5/DjnPfQjAi0R6DyQ1ph2zi6GK6VvDCp1bqP07ZxdDFdK3xhUko0pEcisA7Bjxw63bNky9+yzz7qFCxdOYDRnzhz39NNPu6VLl07w5y+7HT16dIKfDkQgLwJmmmLOi20Z4jWTvmXQIS8bzMy5vCJXvD0nYKby23MRZEBfEcisA8Do//r161uCx9r/p556yn3xi1+c1CloKQIFEgEREAEREAEREAER6BsCqbV/UQAABwtJREFUymi2BDLrALRqFu8CXHPNNe799993LANq9TqFE4FuCWiKuVuC5b5e+pZbn26tk77dEiz39dK33PrIuvQIFN4BYJaAl4B/8Rd/0d17773+nYH0sCpH+RDoLlYzTTF3R7DcV5tJ33Ir1J11ZtK3O4LlvtpM+pZbIVmXGoHCOwABIO8DLF++3O3atSt4aSsCuRLQCFOueHseufTtuQS5GvDpp5/mGr8i7y0Bld/e8lfq/UegkA7Avn373KpVqxzb/kOsHIuACIiACIiACIiACHRKQNdlT6CQDsBZZ53lvwzEi7+8AEw2+FwoTu8BQEOuCAJmmmIugnOv0jCTvr1iX0S6ZtK3CM69SsNM+vaKvdLtTwKFdAD49j8v/4KYF4D5S8Ac8x4AS4HwlxOB5gS6P6sp5u4ZljkG6Vtmdbq3Tfp2z7DMMUjfMqsj21IkkHkHgMY+f+GXz4JWAwv+vACM+9a3vqVPgFYD0r4IiIAIiEB9AvIVAREQARHIlEDmHYBMrVNkIpAhATNNMWeIs3RRmUnf0omSoUFm0jdDnKWLykz6lk6UkhgkM/IhoA5APlwVqwiIgAiIgAiIgAiIgAiUkoA6AKWURUZNJJDNkdaYZsOxrLFI37Iqk41d0jcbjmWNRfqWVRnZlSoBdQBSVVb5mkTATFPMk6Ak5GEmfROS80xWPtszk76foUhyYyZ9kxRWmSotAXUASiuNDBMBERABERABERCB/iWgnOdHQB2A/Ngq5pIR0BRzyQTJ2BzpmzHQkkUnfUsmSMbmSN+MgSo6EZiCwLSxsTE3MjIStSMPx48fd6Ojo3LJMchO01OnTun+SPj+kL7ZlZUy1qXSV/qW8b6UTWnfl6nqe+TIkXOnDQwMuBTcFB0dnRYBZ6Y1pinfBmbSNzl9qzJkJn2rcCS3ayZ9kxNVGSo1Ab8EaPbs2S5mB+FZs2a5wcFBOTFoeA9Mnz694TndO/GXHekbv4bNyqH0lb7N7g+dS+/+kKb5aTpv3rwPfAfA6Z8I9AEBM40wpSyzmfSVvikTSDtvZiq/aSus3JWNgDoAZVNE9lQR0K4IiIAIiIAIiIAIiEDWBNQByJqo4istAX1lorTSZGKY9M0EY3kiqbFE+tYASexQ+iYmqLJTegLqAJReIhkoAiIgAiIgAiIgAv1DQDnNn0AuHYANGza44eHhhtYfO3bMrV692u3Zs6dhGJ0QgawJmGmNadZMyxSfmfQtkx5Z22ImfbNmWqb4zKRvmfSQLekTyLwDQON/+/btTclt3rzZffTRR03D6GS/E1D+RUAEREAEREAEREAE8iCQWQegelR/8eLFDW1l1P873/mO/xxjw0A6IQI5ENAa0xyglihK6VsiMbo1pc710rcOlIS8pG9CYiorURDIrAOwY8cOt2zZMvfss8+6hQsX1s38vn373C/90i+5L3/5y/7vDtQNJE8RyImAmaaYc0JbimjNpG8phMjJCDPpmxPaUkRrJn1LIUQJjJAJxRDIrAPAmv7169c3tPrkyZPuqaeectdff707//zzG4bTCREQAREQAREQAREQAREQgfwIZNYBmMrEF1980QehA+B39CMCDQnkc0JTzPlwLUus0rcsSuRjh/TNh2tZYpW+ZVFCdvQLgUI6ACz9oQNwxx13uBkzZvQLW+WzZATMNMVcMkkyNcdM+mYKtFeRNUjXTPo2QJOEt5n0TUJIZSIaAoV0AN5++2136NAhd9ttt7mhoSF3ww03+K8AfeUrX3F8NSgaWjI0agIaYYpavimNl75TIoo6gPSNWr4pjZe+UyLqiwDKZHEECukA8H7A7t27XXDf/OY33ec//3n38MMPu2bvDRSHQSmJgAiIgAiIgAiIgAiIQH8QKKQD0B8olctsCOQXi5mmmPOj2/uYzaRv71XIzwIz6Zsf3d7HbCZ9e6+CLOgnAuoA9JPafZ5XTTGnfQNI3wT0bZIF6dsETgKnpG8CIioLURHIvAPAS74bN250LPtpRGLOnDlueHjYLV++vFEQ+YuACIiACIiACIiACPQJAWWzWAKZdwCKNV+piUDrBMw0xdw6rfhCmknf+FRr3WIz6ds6rfhCmknf+FSTxTETUAcgZvWSs10ZEgEREAEREAEREAERyJuAOgB5E1b8pSGgNaalkSIXQ6RvLliLi3SKlKTvFIAiPy19IxdQ5kdHQB2A6CSTwZ0SMNMUc6fsYrjOTPrGoFOnNppJ307ZxXCdmfSNQae8bFS8xRNQB6B45kpRBERABERABERABERABHpGQB2AnqFXwhMJ5H+kKeb8GfcyBenbS/r5py1982fcyxSkby/pK+1+JDBtbGzMjYyMRO3Iw/Hjx93o6KicGDS8B06dOtXwnO6d+MuO9I1YwxbqLekrfVVPp30PSN/i9D1y5Mi5/x8AAP//eFM57gAAAAZJREFUAwB+/I5b2OULzAAAAABJRU5ErkJggg=="/>
        <xdr:cNvSpPr>
          <a:spLocks noChangeAspect="1" noChangeArrowheads="1"/>
        </xdr:cNvSpPr>
      </xdr:nvSpPr>
      <xdr:spPr>
        <a:xfrm>
          <a:off x="8983980" y="35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1"/>
  <sheetViews>
    <sheetView tabSelected="1" workbookViewId="0">
      <selection activeCell="B19" sqref="B19"/>
    </sheetView>
  </sheetViews>
  <sheetFormatPr defaultColWidth="9" defaultRowHeight="14.4"/>
  <cols>
    <col min="1" max="1" width="9.88888888888889" style="1" customWidth="1"/>
    <col min="2" max="2" width="19.7777777777778" style="1" customWidth="1"/>
    <col min="3" max="3" width="15.2222222222222" style="1" customWidth="1"/>
    <col min="4" max="4" width="17.7777777777778" style="1" customWidth="1"/>
    <col min="5" max="5" width="23.8888888888889" style="1" customWidth="1"/>
    <col min="6" max="16384" width="8.88888888888889" style="1"/>
  </cols>
  <sheetData>
    <row r="2" ht="21" spans="2:5">
      <c r="B2" s="2" t="s">
        <v>0</v>
      </c>
      <c r="C2" s="3"/>
      <c r="D2" s="3"/>
      <c r="E2" s="3"/>
    </row>
    <row r="3" spans="2:5">
      <c r="B3" s="4" t="s">
        <v>1</v>
      </c>
      <c r="C3" s="5"/>
      <c r="D3" s="5"/>
      <c r="E3" s="5"/>
    </row>
    <row r="5" ht="15.6" spans="2:5">
      <c r="B5" s="6" t="s">
        <v>2</v>
      </c>
      <c r="C5" s="7"/>
      <c r="D5" s="7"/>
      <c r="E5" s="7"/>
    </row>
    <row r="6" spans="2:5">
      <c r="B6" s="8" t="s">
        <v>3</v>
      </c>
      <c r="C6" s="9" t="s">
        <v>4</v>
      </c>
      <c r="D6" s="9" t="s">
        <v>5</v>
      </c>
      <c r="E6" s="9" t="s">
        <v>6</v>
      </c>
    </row>
    <row r="7" spans="2:5">
      <c r="B7" s="10" t="s">
        <v>7</v>
      </c>
      <c r="C7" s="11">
        <v>130</v>
      </c>
      <c r="D7" s="11">
        <v>115</v>
      </c>
      <c r="E7" s="12">
        <f t="shared" ref="E7:E12" si="0">D7-C7</f>
        <v>-15</v>
      </c>
    </row>
    <row r="8" spans="2:5">
      <c r="B8" s="13" t="s">
        <v>8</v>
      </c>
      <c r="C8" s="14"/>
      <c r="D8" s="14">
        <v>50</v>
      </c>
      <c r="E8" s="15">
        <f t="shared" si="0"/>
        <v>50</v>
      </c>
    </row>
    <row r="9" spans="2:5">
      <c r="B9" s="10" t="s">
        <v>9</v>
      </c>
      <c r="C9" s="11"/>
      <c r="D9" s="11">
        <v>80</v>
      </c>
      <c r="E9" s="12">
        <f t="shared" si="0"/>
        <v>80</v>
      </c>
    </row>
    <row r="10" spans="2:5">
      <c r="B10" s="13" t="s">
        <v>10</v>
      </c>
      <c r="C10" s="14"/>
      <c r="D10" s="14">
        <v>35</v>
      </c>
      <c r="E10" s="15">
        <f t="shared" si="0"/>
        <v>35</v>
      </c>
    </row>
    <row r="11" spans="2:5">
      <c r="B11" s="10" t="s">
        <v>11</v>
      </c>
      <c r="C11" s="11"/>
      <c r="D11" s="11">
        <v>65</v>
      </c>
      <c r="E11" s="12">
        <f t="shared" si="0"/>
        <v>65</v>
      </c>
    </row>
    <row r="12" spans="2:5">
      <c r="B12" s="16" t="s">
        <v>12</v>
      </c>
      <c r="C12" s="17">
        <f>SUM(C7:C11)</f>
        <v>130</v>
      </c>
      <c r="D12" s="17">
        <f>SUM(D7:D11)</f>
        <v>345</v>
      </c>
      <c r="E12" s="17">
        <f t="shared" si="0"/>
        <v>215</v>
      </c>
    </row>
    <row r="14" ht="15.6" spans="2:5">
      <c r="B14" s="18" t="s">
        <v>13</v>
      </c>
      <c r="C14" s="19"/>
      <c r="D14" s="19"/>
      <c r="E14" s="19"/>
    </row>
    <row r="15" spans="2:5">
      <c r="B15" s="20" t="s">
        <v>3</v>
      </c>
      <c r="C15" s="21" t="s">
        <v>4</v>
      </c>
      <c r="D15" s="21" t="s">
        <v>5</v>
      </c>
      <c r="E15" s="21" t="s">
        <v>6</v>
      </c>
    </row>
    <row r="16" spans="2:5">
      <c r="B16" s="10" t="s">
        <v>14</v>
      </c>
      <c r="C16" s="11">
        <v>25</v>
      </c>
      <c r="D16" s="11">
        <v>24</v>
      </c>
      <c r="E16" s="12">
        <f>D16-C16</f>
        <v>-1</v>
      </c>
    </row>
    <row r="17" spans="2:11">
      <c r="B17" s="13" t="s">
        <v>15</v>
      </c>
      <c r="C17" s="14">
        <v>95</v>
      </c>
      <c r="D17" s="14">
        <v>110</v>
      </c>
      <c r="E17" s="15">
        <f>D17-C17</f>
        <v>15</v>
      </c>
    </row>
    <row r="18" spans="2:11">
      <c r="B18" s="10" t="s">
        <v>16</v>
      </c>
      <c r="C18" s="11">
        <v>20</v>
      </c>
      <c r="D18" s="11">
        <v>20</v>
      </c>
      <c r="E18" s="12"/>
    </row>
    <row r="19" spans="2:11">
      <c r="B19" s="13" t="s">
        <v>17</v>
      </c>
      <c r="C19" s="14">
        <v>15</v>
      </c>
      <c r="D19" s="14">
        <v>18</v>
      </c>
      <c r="E19" s="15">
        <f>D19-C19</f>
        <v>3</v>
      </c>
    </row>
    <row r="20" spans="2:11">
      <c r="B20" s="10" t="s">
        <v>18</v>
      </c>
      <c r="C20" s="11">
        <v>30</v>
      </c>
      <c r="D20" s="11">
        <v>28</v>
      </c>
      <c r="E20" s="12"/>
      <c r="K20"/>
    </row>
    <row r="21" spans="2:11">
      <c r="B21" s="13" t="s">
        <v>19</v>
      </c>
      <c r="C21" s="14">
        <v>12</v>
      </c>
      <c r="D21" s="14">
        <v>12</v>
      </c>
      <c r="E21" s="15"/>
    </row>
    <row r="22" spans="2:11">
      <c r="B22" s="10"/>
      <c r="C22" s="11"/>
      <c r="D22" s="11"/>
      <c r="E22" s="12"/>
    </row>
    <row r="23" spans="2:11">
      <c r="B23" s="13"/>
      <c r="C23" s="14"/>
      <c r="D23" s="14"/>
      <c r="E23" s="15"/>
    </row>
    <row r="24" spans="2:11">
      <c r="B24" s="10"/>
      <c r="C24" s="11"/>
      <c r="D24" s="11"/>
      <c r="E24" s="12"/>
    </row>
    <row r="25" spans="2:11">
      <c r="B25" s="22" t="s">
        <v>20</v>
      </c>
      <c r="C25" s="23">
        <f>SUM(C16:C24)</f>
        <v>197</v>
      </c>
      <c r="D25" s="23">
        <f>SUM(D16:D24)</f>
        <v>212</v>
      </c>
      <c r="E25" s="23">
        <f>D25-C25</f>
        <v>15</v>
      </c>
    </row>
    <row r="27" ht="15.6" spans="2:11">
      <c r="B27" s="24" t="s">
        <v>21</v>
      </c>
      <c r="C27" s="25"/>
      <c r="D27" s="25"/>
      <c r="E27" s="25"/>
    </row>
    <row r="28" spans="2:11">
      <c r="B28" s="26" t="s">
        <v>22</v>
      </c>
      <c r="C28" s="27">
        <f>D12</f>
        <v>345</v>
      </c>
      <c r="D28" s="28"/>
      <c r="E28" s="29"/>
    </row>
    <row r="29" spans="2:11">
      <c r="B29" s="30" t="s">
        <v>23</v>
      </c>
      <c r="C29" s="31">
        <f>D25</f>
        <v>212</v>
      </c>
      <c r="D29" s="32"/>
      <c r="E29" s="33"/>
    </row>
    <row r="30" spans="2:11">
      <c r="B30" s="26" t="s">
        <v>24</v>
      </c>
      <c r="C30" s="27">
        <f>D12-D25</f>
        <v>133</v>
      </c>
      <c r="D30" s="28"/>
      <c r="E30" s="29"/>
    </row>
    <row r="31" spans="2:11">
      <c r="B31" s="26" t="s">
        <v>25</v>
      </c>
      <c r="C31" s="34">
        <f>IF(D12=0,0,(D12-D25)/D12)</f>
        <v>0.385507246376812</v>
      </c>
      <c r="D31" s="35"/>
      <c r="E31" s="36"/>
    </row>
  </sheetData>
  <mergeCells count="9">
    <mergeCell ref="B2:E2"/>
    <mergeCell ref="B3:E3"/>
    <mergeCell ref="B5:E5"/>
    <mergeCell ref="B14:E14"/>
    <mergeCell ref="B27:E27"/>
    <mergeCell ref="C28:E28"/>
    <mergeCell ref="C29:E29"/>
    <mergeCell ref="C30:E30"/>
    <mergeCell ref="C31:E3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2026-03-31T12:24:00Z</dcterms:created>
  <dcterms:modified xsi:type="dcterms:W3CDTF">2026-03-31T13:07:36Z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07A2CCAC011147C6B53D62A32AC33A71_13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